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P\AppData\Local\Temp\Rar$DIa18368.27489.rartemp\"/>
    </mc:Choice>
  </mc:AlternateContent>
  <xr:revisionPtr revIDLastSave="0" documentId="13_ncr:1_{12A0059B-0A6A-46CF-9E36-131D3434C077}" xr6:coauthVersionLast="47" xr6:coauthVersionMax="47" xr10:uidLastSave="{00000000-0000-0000-0000-000000000000}"/>
  <bookViews>
    <workbookView xWindow="-110" yWindow="-110" windowWidth="19420" windowHeight="10420" tabRatio="690" activeTab="2" xr2:uid="{2FE6CD84-B9B9-4EAD-B3E2-6EDD1AE2905B}"/>
  </bookViews>
  <sheets>
    <sheet name="Unclean or Raw Data" sheetId="1" r:id="rId1"/>
    <sheet name="Cleaned_Brain_Pharmacy" sheetId="2" r:id="rId2"/>
    <sheet name="Pivot Table and Analysis" sheetId="3" r:id="rId3"/>
    <sheet name="Dashboard" sheetId="5" r:id="rId4"/>
  </sheets>
  <definedNames>
    <definedName name="_xlcn.WorksheetConnection_Brain_Pharmacy_Excel_Project.xlsxBrain_Pharmacy1" hidden="1">Brain_Pharmacy[]</definedName>
    <definedName name="_xlcn.WorksheetConnection_Brain_Pharmacy_Excel_Project.xlsxTable31" hidden="1">Table3</definedName>
    <definedName name="ExternalData_1" localSheetId="1" hidden="1">Cleaned_Brain_Pharmacy!$A$1:$T$337</definedName>
    <definedName name="Slicer_Channel1">#N/A</definedName>
    <definedName name="Slicer_Country1">#N/A</definedName>
    <definedName name="Slicer_Product_Class1">#N/A</definedName>
    <definedName name="Slicer_Year1">#N/A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9"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Brain_Pharmacy_Excel_Project.xlsx!Table3"/>
          <x15:modelTable id="Brain_Pharmacy" name="Brain_Pharmacy" connection="WorksheetConnection_Brain_Pharmacy_Excel_Project.xlsx!Brain_Pharmac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31" i="3" l="1"/>
  <c r="AA26" i="3"/>
  <c r="AA21" i="3"/>
  <c r="AA12" i="3"/>
  <c r="AA7" i="3"/>
  <c r="AA1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5D1675-871D-4C37-9D15-48C4805EA6C6}" keepAlive="1" name="Query - Brain_Pharmacy" description="Connection to the 'Brain_Pharmacy' query in the workbook." type="5" refreshedVersion="8" background="1" saveData="1">
    <dbPr connection="Provider=Microsoft.Mashup.OleDb.1;Data Source=$Workbook$;Location=Brain_Pharmacy;Extended Properties=&quot;&quot;" command="SELECT * FROM [Brain_Pharmacy]"/>
  </connection>
  <connection id="2" xr16:uid="{D3DF758C-04C5-4C77-A747-296DF4AF5C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A8A6C71-BCE6-4E92-A387-15C6E76AADC5}" name="WorksheetConnection_Brain_Pharmacy_Excel_Project.xlsx!Brain_Pharmacy" type="102" refreshedVersion="8" minRefreshableVersion="5">
    <extLst>
      <ext xmlns:x15="http://schemas.microsoft.com/office/spreadsheetml/2010/11/main" uri="{DE250136-89BD-433C-8126-D09CA5730AF9}">
        <x15:connection id="Brain_Pharmacy" autoDelete="1">
          <x15:rangePr sourceName="_xlcn.WorksheetConnection_Brain_Pharmacy_Excel_Project.xlsxBrain_Pharmacy1"/>
        </x15:connection>
      </ext>
    </extLst>
  </connection>
  <connection id="4" xr16:uid="{465EDED7-DA60-4189-B105-EA73ECD6AC2F}" name="WorksheetConnection_Brain_Pharmacy_Excel_Project.xlsx!Table3" type="102" refreshedVersion="8" minRefreshableVersion="5">
    <extLst>
      <ext xmlns:x15="http://schemas.microsoft.com/office/spreadsheetml/2010/11/main" uri="{DE250136-89BD-433C-8126-D09CA5730AF9}">
        <x15:connection id="Table3">
          <x15:rangePr sourceName="_xlcn.WorksheetConnection_Brain_Pharmacy_Excel_Project.xlsxTable31"/>
        </x15:connection>
      </ext>
    </extLst>
  </connection>
</connections>
</file>

<file path=xl/sharedStrings.xml><?xml version="1.0" encoding="utf-8"?>
<sst xmlns="http://schemas.openxmlformats.org/spreadsheetml/2006/main" count="8158" uniqueCount="719">
  <si>
    <t>Distributor</t>
  </si>
  <si>
    <t>Customer Name</t>
  </si>
  <si>
    <t>City</t>
  </si>
  <si>
    <t>Country</t>
  </si>
  <si>
    <t>Latitude</t>
  </si>
  <si>
    <t>Longitude</t>
  </si>
  <si>
    <t>Channel</t>
  </si>
  <si>
    <t>Sub-channel</t>
  </si>
  <si>
    <t>Product Name</t>
  </si>
  <si>
    <t>Product Class</t>
  </si>
  <si>
    <t>Quantity</t>
  </si>
  <si>
    <t>Price</t>
  </si>
  <si>
    <t>Sales</t>
  </si>
  <si>
    <t>Month</t>
  </si>
  <si>
    <t>Year</t>
  </si>
  <si>
    <t>Name of Sales Rep</t>
  </si>
  <si>
    <t>Manager</t>
  </si>
  <si>
    <t>Sales Team</t>
  </si>
  <si>
    <t>Gottlieb-Cruickshank</t>
  </si>
  <si>
    <t>Zieme, Doyle and Kunze</t>
  </si>
  <si>
    <t>Lublin</t>
  </si>
  <si>
    <t>Poland</t>
  </si>
  <si>
    <t>Hospital</t>
  </si>
  <si>
    <t>Private</t>
  </si>
  <si>
    <t>Topipizole</t>
  </si>
  <si>
    <t>Mood Stabilizers</t>
  </si>
  <si>
    <t>January</t>
  </si>
  <si>
    <t>Mary Gerrard</t>
  </si>
  <si>
    <t>Britanny Bold</t>
  </si>
  <si>
    <t>Delta</t>
  </si>
  <si>
    <t>Feest PLC</t>
  </si>
  <si>
    <t>Åšwiecie</t>
  </si>
  <si>
    <t>Pharmacy</t>
  </si>
  <si>
    <t>Retail</t>
  </si>
  <si>
    <t>Choriotrisin</t>
  </si>
  <si>
    <t>Antibiotics</t>
  </si>
  <si>
    <t>Jessica Smith</t>
  </si>
  <si>
    <t>Medhurst-Beer Pharmaceutical Limited</t>
  </si>
  <si>
    <t>Rybnik</t>
  </si>
  <si>
    <t>Institution</t>
  </si>
  <si>
    <t>Acantaine</t>
  </si>
  <si>
    <t>Steve Pepple</t>
  </si>
  <si>
    <t>Tracy Banks</t>
  </si>
  <si>
    <t>Bravo</t>
  </si>
  <si>
    <t>Barton Ltd Pharma Plc</t>
  </si>
  <si>
    <t>CzeladÅº</t>
  </si>
  <si>
    <t>Lioletine Refliruvax</t>
  </si>
  <si>
    <t>Analgesics</t>
  </si>
  <si>
    <t>Keeling LLC Pharmacy</t>
  </si>
  <si>
    <t>Olsztyn</t>
  </si>
  <si>
    <t>Oxymotroban Fexoformin</t>
  </si>
  <si>
    <t>February</t>
  </si>
  <si>
    <t>Anne Wu</t>
  </si>
  <si>
    <t>Runte-Marquardt Pharmaceutical Ltd</t>
  </si>
  <si>
    <t>Olecko</t>
  </si>
  <si>
    <t>Pazofenac</t>
  </si>
  <si>
    <t>September</t>
  </si>
  <si>
    <t>Thompson Crawford</t>
  </si>
  <si>
    <t>James Goodwill</t>
  </si>
  <si>
    <t>Alfa</t>
  </si>
  <si>
    <t>Blick, Pacocha and Schowalter</t>
  </si>
  <si>
    <t>InowrocÅ‚aw</t>
  </si>
  <si>
    <t>Symbitrim</t>
  </si>
  <si>
    <t>Sheila Stones</t>
  </si>
  <si>
    <t>Leuschke PLC Pharmacy</t>
  </si>
  <si>
    <t>CiechanÃ³w</t>
  </si>
  <si>
    <t>Morphizolid Tianalin</t>
  </si>
  <si>
    <t>Miller-Satterfield Pharma Plc</t>
  </si>
  <si>
    <t>Nidzica</t>
  </si>
  <si>
    <t>Lovapur</t>
  </si>
  <si>
    <t>Stella Given</t>
  </si>
  <si>
    <t>Alisha Cordwell</t>
  </si>
  <si>
    <t>Charlie</t>
  </si>
  <si>
    <t>Bashirian-Kassulke Pharma Plc</t>
  </si>
  <si>
    <t>KrakÃ³w</t>
  </si>
  <si>
    <t>Ampysin</t>
  </si>
  <si>
    <t>Morris Garcia</t>
  </si>
  <si>
    <t>Wolff Group Pharm</t>
  </si>
  <si>
    <t>Gubin</t>
  </si>
  <si>
    <t>Government</t>
  </si>
  <si>
    <t>Trazobalamin</t>
  </si>
  <si>
    <t>March</t>
  </si>
  <si>
    <t>Erica Jones</t>
  </si>
  <si>
    <t>Denesik, Walter and Beatty Pharma Plc</t>
  </si>
  <si>
    <t>OstrÃ³w Mazowiecka</t>
  </si>
  <si>
    <t>Atrabicin Alkerotec</t>
  </si>
  <si>
    <t>Antiseptics</t>
  </si>
  <si>
    <t>Abigail Thompson</t>
  </si>
  <si>
    <t>Breitenberg-Kuhn Pharmacy</t>
  </si>
  <si>
    <t>Radom</t>
  </si>
  <si>
    <t>Exotropin Empizine</t>
  </si>
  <si>
    <t>December</t>
  </si>
  <si>
    <t>McClure, Zemlak and Dibbert Pharma Plc</t>
  </si>
  <si>
    <t>GdaÅ„sk</t>
  </si>
  <si>
    <t>Afinitasol</t>
  </si>
  <si>
    <t>Antipiretics</t>
  </si>
  <si>
    <t>Block-Romaguera Pharmaceutical Limited</t>
  </si>
  <si>
    <t>Tarnowskie GÃ³ry</t>
  </si>
  <si>
    <t>Amavirase</t>
  </si>
  <si>
    <t>Hahn, Rutherford and Gislason Pharmaceutical Limited</t>
  </si>
  <si>
    <t>Åaziska GÃ³rne</t>
  </si>
  <si>
    <t>Neuropogen Empibax</t>
  </si>
  <si>
    <t>D'Amore and Sons</t>
  </si>
  <si>
    <t>WÄ…growiec</t>
  </si>
  <si>
    <t>Tracdomide</t>
  </si>
  <si>
    <t>Daniel Gates</t>
  </si>
  <si>
    <t>Koss Ltd Pharmaceutical Limited</t>
  </si>
  <si>
    <t>LwÃ³wek ÅšlÄ…ski</t>
  </si>
  <si>
    <t>Novakyn Tracprox</t>
  </si>
  <si>
    <t>Fadel-West</t>
  </si>
  <si>
    <t>ZÅ‚otoryja</t>
  </si>
  <si>
    <t>Paronium Atracustone</t>
  </si>
  <si>
    <t>Lindgren-Simonis Pharm</t>
  </si>
  <si>
    <t>Biskupiec</t>
  </si>
  <si>
    <t>Dantocept Ferurenone</t>
  </si>
  <si>
    <t>Alan Ray</t>
  </si>
  <si>
    <t>Spinka, Schowalter and Conn Pharmaceutical Limited</t>
  </si>
  <si>
    <t>BiÅ‚goraj</t>
  </si>
  <si>
    <t>Aciprex</t>
  </si>
  <si>
    <t>Jimmy Grey</t>
  </si>
  <si>
    <t>Will and Sons Pharma Plc</t>
  </si>
  <si>
    <t>Gniew</t>
  </si>
  <si>
    <t>Diaxolol</t>
  </si>
  <si>
    <t>Jakubowski Inc Pharmaceutical Limited</t>
  </si>
  <si>
    <t>BolesÅ‚awiec</t>
  </si>
  <si>
    <t>Saprodeine Zanprosyn</t>
  </si>
  <si>
    <t>Schaden-Hirthe Pharmaceutical Ltd</t>
  </si>
  <si>
    <t>Åšwidnica</t>
  </si>
  <si>
    <t>Magnemunex</t>
  </si>
  <si>
    <t>Mraz Group Pharmacy</t>
  </si>
  <si>
    <t>PiastÃ³w</t>
  </si>
  <si>
    <t>Nader-Gaylord Pharmaceutical Ltd</t>
  </si>
  <si>
    <t>ÅÃ³dÅº</t>
  </si>
  <si>
    <t>Pitodomide</t>
  </si>
  <si>
    <t>Antimalarial</t>
  </si>
  <si>
    <t>Heidenreich Group Pharmaceutical Ltd</t>
  </si>
  <si>
    <t>RzeszÃ³w</t>
  </si>
  <si>
    <t>Malaxolol Aeroprosyn</t>
  </si>
  <si>
    <t>Mante-Grady Pharm</t>
  </si>
  <si>
    <t>LubaczÃ³w</t>
  </si>
  <si>
    <t>Tetratanyl</t>
  </si>
  <si>
    <t>Feest-Kshlerin Pharmaceutical Ltd</t>
  </si>
  <si>
    <t>Åšwidnik</t>
  </si>
  <si>
    <t>Spiroderall</t>
  </si>
  <si>
    <t>July</t>
  </si>
  <si>
    <t>Formolovir Amanferon</t>
  </si>
  <si>
    <t>Leuschke, Waters and Schowalter Pharmaceutical Ltd</t>
  </si>
  <si>
    <t>Krapkowice</t>
  </si>
  <si>
    <t>Panpion</t>
  </si>
  <si>
    <t>Hirthe, Williamson and Macejkovic Pharma Plc</t>
  </si>
  <si>
    <t>Brzeg</t>
  </si>
  <si>
    <t>Dorzovorin Pentadarone</t>
  </si>
  <si>
    <t>Emard-O'Connell Pharmacy</t>
  </si>
  <si>
    <t>Zakopane</t>
  </si>
  <si>
    <t>Carter-Conn Pharma Plc</t>
  </si>
  <si>
    <t>BrwinÃ³w</t>
  </si>
  <si>
    <t>Comzyme</t>
  </si>
  <si>
    <t>Heathcote, Grant and Witting Pharm</t>
  </si>
  <si>
    <t>Bielsko-BiaÅ‚a</t>
  </si>
  <si>
    <t>Aldevac</t>
  </si>
  <si>
    <t>Boyer and Sons Pharmaceutical Limited</t>
  </si>
  <si>
    <t>WaÅ‚cz</t>
  </si>
  <si>
    <t>Invisteride Diclomycin</t>
  </si>
  <si>
    <t>Rowe PLC Pharmaceutical Ltd</t>
  </si>
  <si>
    <t>KÄ™ty</t>
  </si>
  <si>
    <t>Ergomethate</t>
  </si>
  <si>
    <t>McCullough LLC Pharma Plc</t>
  </si>
  <si>
    <t>CzÄ™stochowa</t>
  </si>
  <si>
    <t>Theopril</t>
  </si>
  <si>
    <t>Grimes, Jacobs and Durgan Pharm</t>
  </si>
  <si>
    <t>BeÅ‚chatÃ³w</t>
  </si>
  <si>
    <t>Balistreri, Torp and Gulgowski Pharmacy</t>
  </si>
  <si>
    <t>CheÅ‚mÅ¼a</t>
  </si>
  <si>
    <t>Ketastadil</t>
  </si>
  <si>
    <t>Will and Sons Pharmaceutical Limited</t>
  </si>
  <si>
    <t>PoznaÅ„</t>
  </si>
  <si>
    <t>Methiclotide</t>
  </si>
  <si>
    <t>April</t>
  </si>
  <si>
    <t>Osinski-Collins Pharmaceutical Ltd</t>
  </si>
  <si>
    <t>ElblÄ…g</t>
  </si>
  <si>
    <t>Parisian, Hagenes and Skiles Pharma Plc</t>
  </si>
  <si>
    <t>Ciechocinek</t>
  </si>
  <si>
    <t>Propratecan</t>
  </si>
  <si>
    <t>Lovavatol Azelavarix</t>
  </si>
  <si>
    <t>Symbiroban</t>
  </si>
  <si>
    <t>May</t>
  </si>
  <si>
    <t>Schmitt, Berge and Haley Pharma Plc</t>
  </si>
  <si>
    <t>KÅ‚odzko</t>
  </si>
  <si>
    <t>Afaxacin</t>
  </si>
  <si>
    <t>Funk, Ratke and Heaney Pharmacy</t>
  </si>
  <si>
    <t>Prabuty</t>
  </si>
  <si>
    <t>Testant</t>
  </si>
  <si>
    <t>Walsh-Brown Pharmacy</t>
  </si>
  <si>
    <t>ChorzÃ³w</t>
  </si>
  <si>
    <t>Temasone Thiobucil</t>
  </si>
  <si>
    <t>Schowalter, Runolfsson and VonRueden Pharmaceutical Ltd</t>
  </si>
  <si>
    <t>GrudziÄ…dz</t>
  </si>
  <si>
    <t>Propralamide Dexlanzolam</t>
  </si>
  <si>
    <t>Beahan, Littel and Ondricka Pharmacy</t>
  </si>
  <si>
    <t>ÅÄ™czyca</t>
  </si>
  <si>
    <t>Abobozolid</t>
  </si>
  <si>
    <t>Veum-Kerluke Pharmacy</t>
  </si>
  <si>
    <t>CzÅ‚uchÃ³w</t>
  </si>
  <si>
    <t>Choriogestrel</t>
  </si>
  <si>
    <t>Factofribrate</t>
  </si>
  <si>
    <t>Doyle-Tillman Pharmaceutical Ltd</t>
  </si>
  <si>
    <t>DÄ™blin</t>
  </si>
  <si>
    <t>Sanctumine</t>
  </si>
  <si>
    <t>Ondricka Ltd Pharmacy</t>
  </si>
  <si>
    <t>ÅšwinoujÅ›cie</t>
  </si>
  <si>
    <t>Epzipitant</t>
  </si>
  <si>
    <t>Raynor-Graham Pharmaceutical Limited</t>
  </si>
  <si>
    <t>GorzÃ³w Wielkopolski</t>
  </si>
  <si>
    <t>Koss-Beier</t>
  </si>
  <si>
    <t>NakÅ‚o nad NoteciÄ…</t>
  </si>
  <si>
    <t>Johnson, Friesen and Torphy Pharma Plc</t>
  </si>
  <si>
    <t>Gryfino</t>
  </si>
  <si>
    <t>Relenstrel Exurabine</t>
  </si>
  <si>
    <t>Koch-Osinski Pharm</t>
  </si>
  <si>
    <t>Sandomierz</t>
  </si>
  <si>
    <t>Schaefer LLC Pharmacy</t>
  </si>
  <si>
    <t>KamieÅ„ Pomorski</t>
  </si>
  <si>
    <t>Funk and Sons Pharmaceutical Limited</t>
  </si>
  <si>
    <t>Tarnobrzeg</t>
  </si>
  <si>
    <t>Kiovax Tercorolac</t>
  </si>
  <si>
    <t>Marquardt-Ryan Pharmaceutical Ltd</t>
  </si>
  <si>
    <t>WÄ™gorzewo</t>
  </si>
  <si>
    <t>Biotasol Siloderm</t>
  </si>
  <si>
    <t>Cogxone Levanide</t>
  </si>
  <si>
    <t>Romaguera, Moen and Hagenes Pharmaceutical Limited</t>
  </si>
  <si>
    <t>Sopot</t>
  </si>
  <si>
    <t>Finanel</t>
  </si>
  <si>
    <t>Hartmann-Wolf</t>
  </si>
  <si>
    <t>Trzebnica</t>
  </si>
  <si>
    <t>Schmitt LLC Pharm</t>
  </si>
  <si>
    <t>Nysa</t>
  </si>
  <si>
    <t>Enzastryl</t>
  </si>
  <si>
    <t>Palodizem</t>
  </si>
  <si>
    <t>Buckridge, Dach and Carroll Pharmaceutical Limited</t>
  </si>
  <si>
    <t>LuboÅ„</t>
  </si>
  <si>
    <t>Yundt, Leuschke and Ward Pharmaceutical Ltd</t>
  </si>
  <si>
    <t>Å»ychlin</t>
  </si>
  <si>
    <t>Penitrana</t>
  </si>
  <si>
    <t>Alemtuvatol Megalinum</t>
  </si>
  <si>
    <t>Pentastrin</t>
  </si>
  <si>
    <t>Ultrimax Ultriset</t>
  </si>
  <si>
    <t>Rohan Inc</t>
  </si>
  <si>
    <t>ChojnÃ³w</t>
  </si>
  <si>
    <t>Benzoprox</t>
  </si>
  <si>
    <t>Wintheiser, Breitenberg and Gottlieb Pharmaceutical Limited</t>
  </si>
  <si>
    <t>MilanÃ³wek</t>
  </si>
  <si>
    <t>Alimmethate Insudase</t>
  </si>
  <si>
    <t>Pfeffer-Hodkiewicz Pharmaceutical Ltd</t>
  </si>
  <si>
    <t>Szczytno</t>
  </si>
  <si>
    <t>Acelimus</t>
  </si>
  <si>
    <t>Moen, Murazik and Smith</t>
  </si>
  <si>
    <t>Siedlce</t>
  </si>
  <si>
    <t>Argalazine Abostryl</t>
  </si>
  <si>
    <t>Jast-Cruickshank Pharma Plc</t>
  </si>
  <si>
    <t>BiaÅ‚ystok</t>
  </si>
  <si>
    <t>Zithrotrol</t>
  </si>
  <si>
    <t>Hills, Stroman and Ernser Pharm</t>
  </si>
  <si>
    <t>PuÅ‚tusk</t>
  </si>
  <si>
    <t>Lansostral Acgestin</t>
  </si>
  <si>
    <t>Germany</t>
  </si>
  <si>
    <t>Amamadin</t>
  </si>
  <si>
    <t>Schinner, Gaylord and Treutel Pharmaceutical Ltd</t>
  </si>
  <si>
    <t>DÄ…browa GÃ³rnicza</t>
  </si>
  <si>
    <t>Graham and Sons Pharmacy</t>
  </si>
  <si>
    <t>Warka</t>
  </si>
  <si>
    <t>Stehr-Champlin Pharmaceutical Limited</t>
  </si>
  <si>
    <t>Nowe Miasto Lubawskie</t>
  </si>
  <si>
    <t>Mann-Waelchi Pharm</t>
  </si>
  <si>
    <t>PiotrkÃ³w Trybunalski</t>
  </si>
  <si>
    <t>Travosoline Capolac</t>
  </si>
  <si>
    <t>Haley PLC Pharmaceutical Limited</t>
  </si>
  <si>
    <t>Opole</t>
  </si>
  <si>
    <t>Adalatamine</t>
  </si>
  <si>
    <t>Denesik-Hintz Pharm</t>
  </si>
  <si>
    <t>MiÄ™dzyrzec Podlaski</t>
  </si>
  <si>
    <t>Rosenbaum, Klein and Herzog</t>
  </si>
  <si>
    <t>ZbÄ…szyÅ„</t>
  </si>
  <si>
    <t>Androporin</t>
  </si>
  <si>
    <t>Trantow LLC Pharma Plc</t>
  </si>
  <si>
    <t>Braniewo</t>
  </si>
  <si>
    <t>Fosinofen</t>
  </si>
  <si>
    <t>Hill Ltd</t>
  </si>
  <si>
    <t>Gliwice</t>
  </si>
  <si>
    <t>Leannon-West Pharmacy</t>
  </si>
  <si>
    <t>Cieszyn</t>
  </si>
  <si>
    <t>Kub, Von and Herzog Pharmacy</t>
  </si>
  <si>
    <t>Wschowa</t>
  </si>
  <si>
    <t>Zonixamine Immulinum</t>
  </si>
  <si>
    <t>Welch-Orn</t>
  </si>
  <si>
    <t>CheÅ‚mno</t>
  </si>
  <si>
    <t>Purdy Ltd Pharmaceutical Limited</t>
  </si>
  <si>
    <t>GÅ‚uchoÅ‚azy</t>
  </si>
  <si>
    <t>Diprotaine</t>
  </si>
  <si>
    <t>Veratorol Ciclovatol</t>
  </si>
  <si>
    <t>Trazozaprine</t>
  </si>
  <si>
    <t>Balistreri-Watsica Pharmacy</t>
  </si>
  <si>
    <t>EÅ‚k</t>
  </si>
  <si>
    <t>Ciclonazol</t>
  </si>
  <si>
    <t>Symdocet</t>
  </si>
  <si>
    <t>Pulmogen Alitora</t>
  </si>
  <si>
    <t>Herman, Rice and Rippin</t>
  </si>
  <si>
    <t>ZiÄ™bice</t>
  </si>
  <si>
    <t>Amphesirox</t>
  </si>
  <si>
    <t>Kertzmann-Ward Pharma Plc</t>
  </si>
  <si>
    <t>Opoczno</t>
  </si>
  <si>
    <t>Sucprine Specbalamin</t>
  </si>
  <si>
    <t>Streich PLC Pharmaceutical Limited</t>
  </si>
  <si>
    <t>PrzemyÅ›l</t>
  </si>
  <si>
    <t>Clinolan Pitoletra</t>
  </si>
  <si>
    <t>Upton, Abernathy and Goodwin Pharmaceutical Ltd</t>
  </si>
  <si>
    <t>JarosÅ‚aw</t>
  </si>
  <si>
    <t>Greenholt, Donnelly and O'Reilly Pharmaceutical Limited</t>
  </si>
  <si>
    <t>Rumia</t>
  </si>
  <si>
    <t>Insozyme</t>
  </si>
  <si>
    <t>Kilback, Beer and Batz Pharma Plc</t>
  </si>
  <si>
    <t>Kutno</t>
  </si>
  <si>
    <t>Ganineva Agenium</t>
  </si>
  <si>
    <t>Kunze PLC Pharm</t>
  </si>
  <si>
    <t>DarÅ‚owo</t>
  </si>
  <si>
    <t>Kinenadryl</t>
  </si>
  <si>
    <t>Lesch PLC Pharmacy</t>
  </si>
  <si>
    <t>WrocÅ‚aw</t>
  </si>
  <si>
    <t>Lansopril Acribax</t>
  </si>
  <si>
    <t>Hermiston LLC</t>
  </si>
  <si>
    <t>Strzegom</t>
  </si>
  <si>
    <t>Solasteride</t>
  </si>
  <si>
    <t>Kozey Ltd Pharmaceutical Ltd</t>
  </si>
  <si>
    <t>Bielsk Podlaski</t>
  </si>
  <si>
    <t>Malavirine Alimdine</t>
  </si>
  <si>
    <t>Bayer LLC Pharmaceutical Ltd</t>
  </si>
  <si>
    <t>BytÃ³w</t>
  </si>
  <si>
    <t>Adtiza Gammaluble</t>
  </si>
  <si>
    <t>Buckridge, Hand and Hyatt Pharma Plc</t>
  </si>
  <si>
    <t>Zgorzelec</t>
  </si>
  <si>
    <t>Diazemid Felcept</t>
  </si>
  <si>
    <t>Hansen Group Pharm</t>
  </si>
  <si>
    <t>GryfÃ³w ÅšlÄ…ski</t>
  </si>
  <si>
    <t>Xenaderal</t>
  </si>
  <si>
    <t>October</t>
  </si>
  <si>
    <t>Algluconium Dorzofoxin</t>
  </si>
  <si>
    <t>Nevanide Actozide</t>
  </si>
  <si>
    <t>Sumanazole</t>
  </si>
  <si>
    <t>Beier PLC Pharmacy</t>
  </si>
  <si>
    <t>WÅ‚ocÅ‚awek</t>
  </si>
  <si>
    <t>Ranediol</t>
  </si>
  <si>
    <t>August</t>
  </si>
  <si>
    <t>Paucek, Keeling and Bruen Pharm</t>
  </si>
  <si>
    <t>ÅÄ™czna</t>
  </si>
  <si>
    <t>Schaefer-Rolfson</t>
  </si>
  <si>
    <t>NiepoÅ‚omice</t>
  </si>
  <si>
    <t>Clindaracil</t>
  </si>
  <si>
    <t>West Group Pharmacy</t>
  </si>
  <si>
    <t>Kluczbork</t>
  </si>
  <si>
    <t>Kozey-Schroeder</t>
  </si>
  <si>
    <t>Jawor</t>
  </si>
  <si>
    <t>Koch, Borer and Hagenes</t>
  </si>
  <si>
    <t>KoÅ›cian</t>
  </si>
  <si>
    <t>Wunsch, Mills and Walter</t>
  </si>
  <si>
    <t>Kielce</t>
  </si>
  <si>
    <t>Ampinonide</t>
  </si>
  <si>
    <t>Crist Inc</t>
  </si>
  <si>
    <t>Stary SÄ…cz</t>
  </si>
  <si>
    <t>Magneprex</t>
  </si>
  <si>
    <t>Kinerinex</t>
  </si>
  <si>
    <t>Sanford, Franecki and Greenholt</t>
  </si>
  <si>
    <t>Nowa SÃ³l</t>
  </si>
  <si>
    <t>Abranatal Lysoprosate</t>
  </si>
  <si>
    <t>Steuber Ltd Pharmacy</t>
  </si>
  <si>
    <t>OstroÅ‚Ä™ka</t>
  </si>
  <si>
    <t>Adriafinil Ehtymara</t>
  </si>
  <si>
    <t>Prohaska-Kuhic Pharmacy</t>
  </si>
  <si>
    <t>WisÅ‚a</t>
  </si>
  <si>
    <t>Zarostral</t>
  </si>
  <si>
    <t>Antaparin Varizyme</t>
  </si>
  <si>
    <t>Hermiston and Sons Pharma Plc</t>
  </si>
  <si>
    <t>Bochnia</t>
  </si>
  <si>
    <t>Adriacaine</t>
  </si>
  <si>
    <t>November</t>
  </si>
  <si>
    <t>Lacoplex Hyaluvance</t>
  </si>
  <si>
    <t>Ionclotide</t>
  </si>
  <si>
    <t>Monahan Ltd</t>
  </si>
  <si>
    <t>OÅ›wiÄ™cim</t>
  </si>
  <si>
    <t>Bexridol</t>
  </si>
  <si>
    <t>Steuber, Skiles and Kilback Pharma Plc</t>
  </si>
  <si>
    <t>Sosnowiec</t>
  </si>
  <si>
    <t>Funk PLC Pharmaceutical Limited</t>
  </si>
  <si>
    <t>MikoÅ‚Ã³w</t>
  </si>
  <si>
    <t>Proderal</t>
  </si>
  <si>
    <t>Spencer-Jerde Pharmacy</t>
  </si>
  <si>
    <t>Przeworsk</t>
  </si>
  <si>
    <t>Imiformin Transmunex</t>
  </si>
  <si>
    <t>Moore PLC Pharmaceutical Ltd</t>
  </si>
  <si>
    <t>ÅomÅ¼a</t>
  </si>
  <si>
    <t>Hepavice</t>
  </si>
  <si>
    <t>Torp-Fisher Pharma Plc</t>
  </si>
  <si>
    <t>Gorlice</t>
  </si>
  <si>
    <t>Thionide</t>
  </si>
  <si>
    <t>Botsford and Sons Pharmaceutical Ltd</t>
  </si>
  <si>
    <t>KoÅ‚obrzeg</t>
  </si>
  <si>
    <t>Requimadin</t>
  </si>
  <si>
    <t>Amcibax Amcikeran</t>
  </si>
  <si>
    <t>Factolamide</t>
  </si>
  <si>
    <t>Duraprazole Agalsixolol</t>
  </si>
  <si>
    <t>Effidomide Evofribrate</t>
  </si>
  <si>
    <t>Crona Group Pharma Plc</t>
  </si>
  <si>
    <t>Kwidzyn</t>
  </si>
  <si>
    <t>Decidenu Galantrigine</t>
  </si>
  <si>
    <t>Mills Inc Pharma Plc</t>
  </si>
  <si>
    <t>Bydgoszcz</t>
  </si>
  <si>
    <t>Alpradipine</t>
  </si>
  <si>
    <t>Herman-Koss Pharm</t>
  </si>
  <si>
    <t>Lubsko</t>
  </si>
  <si>
    <t>Kling Inc Pharmaceutical Ltd</t>
  </si>
  <si>
    <t>Ostrowiec ÅšwiÄ™tokrzyski</t>
  </si>
  <si>
    <t>Alglutriptan</t>
  </si>
  <si>
    <t>Stelazolid</t>
  </si>
  <si>
    <t>Bernier, Murphy and Rau Pharmaceutical Ltd</t>
  </si>
  <si>
    <t>Ruda ÅšlÄ…ska</t>
  </si>
  <si>
    <t>Ceretosine</t>
  </si>
  <si>
    <t>Gleichner, Bahringer and Morar Pharma Plc</t>
  </si>
  <si>
    <t>Gostynin</t>
  </si>
  <si>
    <t>Alisteride Pemidizem</t>
  </si>
  <si>
    <t>Antilamin Clinbital</t>
  </si>
  <si>
    <t>Tacrodomide</t>
  </si>
  <si>
    <t>Interzide</t>
  </si>
  <si>
    <t>Erdman PLC Pharmacy</t>
  </si>
  <si>
    <t>Ozimek</t>
  </si>
  <si>
    <t>Yundt-Crona Pharmaceutical Ltd</t>
  </si>
  <si>
    <t>Siemiatycze</t>
  </si>
  <si>
    <t>Rebedase Aplencor</t>
  </si>
  <si>
    <t>Menogine</t>
  </si>
  <si>
    <t>Okuneva-Corkery</t>
  </si>
  <si>
    <t>Kostrzyn nad OdrÄ…</t>
  </si>
  <si>
    <t>Gottlieb-Cruickshank Pharma Plc</t>
  </si>
  <si>
    <t>Brzeszcze</t>
  </si>
  <si>
    <t>Hansen, Fadel and Schroeder Pharm</t>
  </si>
  <si>
    <t>Gniezno</t>
  </si>
  <si>
    <t>Interfeferon Aspipex</t>
  </si>
  <si>
    <t>Effigine Propraprex</t>
  </si>
  <si>
    <t>Schaefer Group Pharmaceutical Limited</t>
  </si>
  <si>
    <t>UstroÅ„</t>
  </si>
  <si>
    <t>Travoloride</t>
  </si>
  <si>
    <t>Senger-Kirlin Pharmacy</t>
  </si>
  <si>
    <t>KobyÅ‚ka</t>
  </si>
  <si>
    <t>Eproline</t>
  </si>
  <si>
    <t>Primatate Univatol</t>
  </si>
  <si>
    <t>Leffler-Russel Pharm</t>
  </si>
  <si>
    <t>Konstancin-Jeziorna</t>
  </si>
  <si>
    <t>Fentatrol Rapatelase</t>
  </si>
  <si>
    <t>Metapatch</t>
  </si>
  <si>
    <t>Nader-Gaylord Pharmaceutical Limited</t>
  </si>
  <si>
    <t>SobÃ³tka</t>
  </si>
  <si>
    <t>Adrecetam Barazoxane</t>
  </si>
  <si>
    <t>Heller-Abernathy</t>
  </si>
  <si>
    <t>Brzeg Dolny</t>
  </si>
  <si>
    <t>Symbisine Prednimadin</t>
  </si>
  <si>
    <t>Rutherford and Sons</t>
  </si>
  <si>
    <t>Gdynia</t>
  </si>
  <si>
    <t>Lockman Ltd</t>
  </si>
  <si>
    <t>PoÅ‚aniec</t>
  </si>
  <si>
    <t>June</t>
  </si>
  <si>
    <t>Tiaracil</t>
  </si>
  <si>
    <t>Ceftatana Serolamide</t>
  </si>
  <si>
    <t>Rogahn-Klein Pharmacy</t>
  </si>
  <si>
    <t>Koronowo</t>
  </si>
  <si>
    <t>Diprolimus</t>
  </si>
  <si>
    <t>Crist, Wisoky and Nolan Pharmaceutical Ltd</t>
  </si>
  <si>
    <t>ToruÅ„</t>
  </si>
  <si>
    <t>Aclonuma</t>
  </si>
  <si>
    <t>Kshlerin, Ryan and Leuschke Pharma Plc</t>
  </si>
  <si>
    <t>Zielona GÃ³ra</t>
  </si>
  <si>
    <t>Claricriptine Adaferol</t>
  </si>
  <si>
    <t>Dantolac Pazocor</t>
  </si>
  <si>
    <t>Topifribrate</t>
  </si>
  <si>
    <t>Halciramine</t>
  </si>
  <si>
    <t>Pulmofine</t>
  </si>
  <si>
    <t>Cormier, Dietrich and Zulauf Pharma Plc</t>
  </si>
  <si>
    <t>PuÅ‚awy</t>
  </si>
  <si>
    <t>Crona PLC Pharma Plc</t>
  </si>
  <si>
    <t>BiaÅ‚ogard</t>
  </si>
  <si>
    <t>Afretosine</t>
  </si>
  <si>
    <t>Lactubucil</t>
  </si>
  <si>
    <t>Kreiger Inc Pharma Plc</t>
  </si>
  <si>
    <t>Mielec</t>
  </si>
  <si>
    <t>Aprerase</t>
  </si>
  <si>
    <t>Acubulin</t>
  </si>
  <si>
    <t>Nitzsche, Effertz and Maggio Pharmacy</t>
  </si>
  <si>
    <t>Malbork</t>
  </si>
  <si>
    <t>Doxivorin</t>
  </si>
  <si>
    <t>Ribabyclor</t>
  </si>
  <si>
    <t>Lebsack, Yost and Heller Pharmaceutical Limited</t>
  </si>
  <si>
    <t>Wieliczka</t>
  </si>
  <si>
    <t>Aggretisol</t>
  </si>
  <si>
    <t>Proprabax</t>
  </si>
  <si>
    <t>Zonitonin</t>
  </si>
  <si>
    <t>Harris, Daugherty and Okuneva Pharma Plc</t>
  </si>
  <si>
    <t>Krotoszyn</t>
  </si>
  <si>
    <t>Zemlak Group Pharmaceutical Limited</t>
  </si>
  <si>
    <t>Koszalin</t>
  </si>
  <si>
    <t>Bogan, Jacobs and Kris Pharmacy</t>
  </si>
  <si>
    <t>LubartÃ³w</t>
  </si>
  <si>
    <t>Cephovelam</t>
  </si>
  <si>
    <t>Kertzmann, Quitzon and Harris Pharma Plc</t>
  </si>
  <si>
    <t>Reszel</t>
  </si>
  <si>
    <t>Aquamycin Lacoran</t>
  </si>
  <si>
    <t>Asparathasone Unipan</t>
  </si>
  <si>
    <t>Halcifergen Nevazone</t>
  </si>
  <si>
    <t>Cassin PLC Pharmacy</t>
  </si>
  <si>
    <t>Miastko</t>
  </si>
  <si>
    <t>Zynosine</t>
  </si>
  <si>
    <t>Victomine</t>
  </si>
  <si>
    <t>Araxetine</t>
  </si>
  <si>
    <t>Feruprazole</t>
  </si>
  <si>
    <t>Lesch PLC Pharmaceutical Ltd</t>
  </si>
  <si>
    <t>GÅ‚uszyca</t>
  </si>
  <si>
    <t>Quiniprosyn</t>
  </si>
  <si>
    <t>Bosco-Marquardt Pharm</t>
  </si>
  <si>
    <t>LÄ™bork</t>
  </si>
  <si>
    <t>Aggrakine</t>
  </si>
  <si>
    <t>Afluferon Entrarenone</t>
  </si>
  <si>
    <t>Gerhold, Mills and Effertz Pharm</t>
  </si>
  <si>
    <t>GÅ‚ubczyce</t>
  </si>
  <si>
    <t>Megenorphine</t>
  </si>
  <si>
    <t>Allomenda</t>
  </si>
  <si>
    <t>Zyvance</t>
  </si>
  <si>
    <t>Welch-Langworth</t>
  </si>
  <si>
    <t>Warsaw</t>
  </si>
  <si>
    <t>Angioparin Brimosumab</t>
  </si>
  <si>
    <t>Brakus, Rempel and Harber Pharma Plc</t>
  </si>
  <si>
    <t>Nowy Targ</t>
  </si>
  <si>
    <t>Imiderm Vibranovate</t>
  </si>
  <si>
    <t>Zemlak-Witting Pharmacy</t>
  </si>
  <si>
    <t>MiÄ™dzyrzecz</t>
  </si>
  <si>
    <t>Atomorelin</t>
  </si>
  <si>
    <t>Fentalac</t>
  </si>
  <si>
    <t>Microroban Afatigomar</t>
  </si>
  <si>
    <t>Tetalamide</t>
  </si>
  <si>
    <t>Gerlach LLC</t>
  </si>
  <si>
    <t>Collins-Schmidt Pharma Plc</t>
  </si>
  <si>
    <t>Marburg</t>
  </si>
  <si>
    <t>Bosco-Marquardt Pharmaceutical Limited</t>
  </si>
  <si>
    <t>Brandenburg</t>
  </si>
  <si>
    <t>Hahn, Rutherford and Gislason Pharm</t>
  </si>
  <si>
    <t>Kulmbach</t>
  </si>
  <si>
    <t>Gerhold, Mills and Effertz</t>
  </si>
  <si>
    <t>Ansbach</t>
  </si>
  <si>
    <t>Prohaska-Kuhic Pharma Plc</t>
  </si>
  <si>
    <t>Pirmasens</t>
  </si>
  <si>
    <t>Turner Ltd</t>
  </si>
  <si>
    <t>Porta Westfalica</t>
  </si>
  <si>
    <t>Upton, Abernathy and Goodwin Pharmaceutical Limited</t>
  </si>
  <si>
    <t>Detmold</t>
  </si>
  <si>
    <t>Fahey-Flatley Pharmaceutical Ltd</t>
  </si>
  <si>
    <t>Uelzen</t>
  </si>
  <si>
    <t>White Inc Pharm</t>
  </si>
  <si>
    <t>Ehingen an der Donau</t>
  </si>
  <si>
    <t>Agalsiline</t>
  </si>
  <si>
    <t>Pfannerstill Group</t>
  </si>
  <si>
    <t>Calw</t>
  </si>
  <si>
    <t>Kuhic LLC Pharmaceutical Limited</t>
  </si>
  <si>
    <t>Gronau</t>
  </si>
  <si>
    <t>Welch-Langworth Pharm</t>
  </si>
  <si>
    <t>Papenburg</t>
  </si>
  <si>
    <t>Botsford and Sons</t>
  </si>
  <si>
    <t>Marl</t>
  </si>
  <si>
    <t>Lesch PLC Pharma Plc</t>
  </si>
  <si>
    <t>KÃ¶nigs Wusterhausen</t>
  </si>
  <si>
    <t>Balistreri Group Pharmacy</t>
  </si>
  <si>
    <t>Bad Honnef am Rhein</t>
  </si>
  <si>
    <t>Raparidol</t>
  </si>
  <si>
    <t>Reynolds, Jast and Mante</t>
  </si>
  <si>
    <t>Achern</t>
  </si>
  <si>
    <t>Dexmeprazole Transnuvia</t>
  </si>
  <si>
    <t>Erdman</t>
  </si>
  <si>
    <t>Rodriguez, Stokes and Dickens</t>
  </si>
  <si>
    <t>Ostfildern</t>
  </si>
  <si>
    <t>Purdy Ltd</t>
  </si>
  <si>
    <t>Erkelenz</t>
  </si>
  <si>
    <t>D'Amore and Sons Pharmacy</t>
  </si>
  <si>
    <t>Lohne</t>
  </si>
  <si>
    <t>Will, McGlynn and Fritsch Pharmaceutical Limited</t>
  </si>
  <si>
    <t>Alzey</t>
  </si>
  <si>
    <t>Schuppe Inc</t>
  </si>
  <si>
    <t>Bensheim</t>
  </si>
  <si>
    <t>Romaguera, Moen and Hagenes Pharm</t>
  </si>
  <si>
    <t>UnterschleiÃŸheim</t>
  </si>
  <si>
    <t>Medhurst-Beer Pharm</t>
  </si>
  <si>
    <t>Viernheim</t>
  </si>
  <si>
    <t>Cricane Acamsumab</t>
  </si>
  <si>
    <t>Barton Ltd Pharmaceutical Limited</t>
  </si>
  <si>
    <t>Celle</t>
  </si>
  <si>
    <t>Runte-Marquardt Pharm</t>
  </si>
  <si>
    <t>Wittenberg</t>
  </si>
  <si>
    <t>Parisian, Hagenes and Skiles Pharm</t>
  </si>
  <si>
    <t>Greiz</t>
  </si>
  <si>
    <t>Upton PLC Pharmaceutical Limited</t>
  </si>
  <si>
    <t>MÃ¼hlhausen</t>
  </si>
  <si>
    <t>Raynor LLC Pharm</t>
  </si>
  <si>
    <t>Hilden</t>
  </si>
  <si>
    <t>Koelpin, Luettgen and Abernathy Pharmaceutical Ltd</t>
  </si>
  <si>
    <t>MÃ¶rfelden-Walldorf</t>
  </si>
  <si>
    <t>Moen, Murazik and Smith Pharm</t>
  </si>
  <si>
    <t>Altenburg</t>
  </si>
  <si>
    <t>Osinski-Collins</t>
  </si>
  <si>
    <t>Rheinfelden (Baden)</t>
  </si>
  <si>
    <t>Sevoderm</t>
  </si>
  <si>
    <t>Fritsch, Hodkiewicz and Sipes Pharma Plc</t>
  </si>
  <si>
    <t>Ettlingen</t>
  </si>
  <si>
    <t>Adideine</t>
  </si>
  <si>
    <t>Rosenbaum-Tromp Pharmacy</t>
  </si>
  <si>
    <t>LÃ¼denscheid</t>
  </si>
  <si>
    <t>Relenvice</t>
  </si>
  <si>
    <t>Torphy, Pfeffer and Jakubowski Pharm</t>
  </si>
  <si>
    <t>Limburg</t>
  </si>
  <si>
    <t>VonRueden-Adams Pharm</t>
  </si>
  <si>
    <t>Delitzsch</t>
  </si>
  <si>
    <t>Skiles-McKenzie Pharmaceutical Limited</t>
  </si>
  <si>
    <t>Westerstede</t>
  </si>
  <si>
    <t>Aspinavir Silovance</t>
  </si>
  <si>
    <t>Okuneva-Corkery Pharm</t>
  </si>
  <si>
    <t>GroÃŸ-Gerau</t>
  </si>
  <si>
    <t>Hirthe, Williamson and Macejkovic</t>
  </si>
  <si>
    <t>Schwandorf</t>
  </si>
  <si>
    <t>Immurenol Temarate</t>
  </si>
  <si>
    <t>Wehner-Stehr Pharm</t>
  </si>
  <si>
    <t>Chemnitz</t>
  </si>
  <si>
    <t>Nader-Borer Pharmaceutical Limited</t>
  </si>
  <si>
    <t>Grimma</t>
  </si>
  <si>
    <t>Herman, Rice and Rippin Pharmaceutical Limited</t>
  </si>
  <si>
    <t>Schorndorf</t>
  </si>
  <si>
    <t xml:space="preserve">Gottlieb-Cruickshank  </t>
  </si>
  <si>
    <t xml:space="preserve">Zieme, Doyle and Kunze </t>
  </si>
  <si>
    <t xml:space="preserve">Feest PLC </t>
  </si>
  <si>
    <t>poland</t>
  </si>
  <si>
    <t xml:space="preserve">Blick, Pacocha and Schowalter </t>
  </si>
  <si>
    <t>Jan</t>
  </si>
  <si>
    <t>PoLand</t>
  </si>
  <si>
    <t>Dec</t>
  </si>
  <si>
    <t>Mar</t>
  </si>
  <si>
    <t xml:space="preserve">D'Amore and Sons </t>
  </si>
  <si>
    <t xml:space="preserve">Fadel-West </t>
  </si>
  <si>
    <t>Feb</t>
  </si>
  <si>
    <t>Apr</t>
  </si>
  <si>
    <t xml:space="preserve">Koss-Beier </t>
  </si>
  <si>
    <t xml:space="preserve">Hartmann-Wolf </t>
  </si>
  <si>
    <t xml:space="preserve">Rohan Inc </t>
  </si>
  <si>
    <t xml:space="preserve">Moen, Murazik and Smith </t>
  </si>
  <si>
    <t>GerMaNy</t>
  </si>
  <si>
    <t xml:space="preserve">Rosenbaum, Klein and Herzog </t>
  </si>
  <si>
    <t xml:space="preserve">Hill Ltd </t>
  </si>
  <si>
    <t xml:space="preserve">Welch-Orn </t>
  </si>
  <si>
    <t>GermANY</t>
  </si>
  <si>
    <t xml:space="preserve">Herman, Rice and Rippin </t>
  </si>
  <si>
    <t>Gwrmany</t>
  </si>
  <si>
    <t xml:space="preserve">Hermiston LLC </t>
  </si>
  <si>
    <t>Oct</t>
  </si>
  <si>
    <t>Aug</t>
  </si>
  <si>
    <t xml:space="preserve">Schaefer-Rolfson </t>
  </si>
  <si>
    <t xml:space="preserve">Kozey-Schroeder </t>
  </si>
  <si>
    <t xml:space="preserve">Koch, Borer and Hagenes </t>
  </si>
  <si>
    <t xml:space="preserve">Wunsch, Mills and Walter </t>
  </si>
  <si>
    <t xml:space="preserve">Crist Inc </t>
  </si>
  <si>
    <t xml:space="preserve">Sanford, Franecki and Greenholt </t>
  </si>
  <si>
    <t>Nov</t>
  </si>
  <si>
    <t xml:space="preserve">Monahan Ltd </t>
  </si>
  <si>
    <t xml:space="preserve">Okuneva-Corkery </t>
  </si>
  <si>
    <t xml:space="preserve">Heller-Abernathy </t>
  </si>
  <si>
    <t xml:space="preserve">Rutherford and Sons </t>
  </si>
  <si>
    <t xml:space="preserve">Lockman Ltd </t>
  </si>
  <si>
    <t>Gemany</t>
  </si>
  <si>
    <t>Polland</t>
  </si>
  <si>
    <t>Decemebr</t>
  </si>
  <si>
    <t>Polad</t>
  </si>
  <si>
    <t>feb</t>
  </si>
  <si>
    <t>POland</t>
  </si>
  <si>
    <t xml:space="preserve">Welch-Langworth </t>
  </si>
  <si>
    <t>PoLAND</t>
  </si>
  <si>
    <t xml:space="preserve">Gerlach LLC </t>
  </si>
  <si>
    <t xml:space="preserve">Gerhold, Mills and Effertz </t>
  </si>
  <si>
    <t xml:space="preserve">Turner Ltd </t>
  </si>
  <si>
    <t xml:space="preserve">Pfannerstill Group </t>
  </si>
  <si>
    <t xml:space="preserve">Botsford and Sons </t>
  </si>
  <si>
    <t xml:space="preserve">Reynolds, Jast and Mante </t>
  </si>
  <si>
    <t xml:space="preserve">Erdman  </t>
  </si>
  <si>
    <t xml:space="preserve">Rodriguez, Stokes and Dickens </t>
  </si>
  <si>
    <t>Demembr</t>
  </si>
  <si>
    <t xml:space="preserve">Purdy Ltd </t>
  </si>
  <si>
    <t>Decmebr</t>
  </si>
  <si>
    <t xml:space="preserve">Schuppe Inc </t>
  </si>
  <si>
    <t xml:space="preserve">Osinski-Collins </t>
  </si>
  <si>
    <t xml:space="preserve">Hirthe, Williamson and Macejkovic </t>
  </si>
  <si>
    <t>Row Labels</t>
  </si>
  <si>
    <t>Grand Total</t>
  </si>
  <si>
    <t>Gross Sales</t>
  </si>
  <si>
    <t>Sum of Gross Sales</t>
  </si>
  <si>
    <t>Returns (Negative Sales)</t>
  </si>
  <si>
    <t>Country Sales Performance</t>
  </si>
  <si>
    <t>Sum of Returns (Negative Sales)</t>
  </si>
  <si>
    <t>Total Revenue</t>
  </si>
  <si>
    <t>Net Revenue</t>
  </si>
  <si>
    <t>Average Product Price</t>
  </si>
  <si>
    <t>Total Units Sold</t>
  </si>
  <si>
    <t>KPIs</t>
  </si>
  <si>
    <t>Products Returned</t>
  </si>
  <si>
    <t>Yearly Sales Trend</t>
  </si>
  <si>
    <t>Product Class Sales</t>
  </si>
  <si>
    <t>Number of Products Sold</t>
  </si>
  <si>
    <t>Total Returned Value</t>
  </si>
  <si>
    <t>Top 5 Product</t>
  </si>
  <si>
    <t>Bottom 5 Product</t>
  </si>
  <si>
    <t>Products Sales Performance (Bottom 5)</t>
  </si>
  <si>
    <t>Products Sales Performance (Top 5)</t>
  </si>
  <si>
    <t>Highest Total Sales Product</t>
  </si>
  <si>
    <t>Returned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</si>
</sst>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1A2E52"/>
        <bgColor indexed="64"/>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ck">
        <color indexed="64"/>
      </right>
      <top/>
      <bottom/>
      <diagonal/>
    </border>
  </borders>
  <cellStyleXfs count="1">
    <xf numFmtId="0" fontId="0" fillId="0" borderId="0"/>
  </cellStyleXfs>
  <cellXfs count="32">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2" borderId="1" xfId="0" applyFill="1" applyBorder="1"/>
    <xf numFmtId="0" fontId="0" fillId="2" borderId="2" xfId="0" applyFill="1" applyBorder="1"/>
    <xf numFmtId="0" fontId="0" fillId="2" borderId="3" xfId="0" applyFill="1" applyBorder="1"/>
    <xf numFmtId="0" fontId="0" fillId="0" borderId="0" xfId="0" applyAlignment="1">
      <alignment horizontal="right"/>
    </xf>
    <xf numFmtId="0" fontId="0" fillId="0" borderId="0" xfId="0" applyAlignment="1">
      <alignment horizontal="center"/>
    </xf>
    <xf numFmtId="2" fontId="1" fillId="0" borderId="0" xfId="0" applyNumberFormat="1" applyFont="1"/>
    <xf numFmtId="2" fontId="0" fillId="0" borderId="0" xfId="0" applyNumberFormat="1"/>
    <xf numFmtId="2" fontId="0" fillId="0" borderId="2" xfId="0" applyNumberFormat="1" applyBorder="1"/>
    <xf numFmtId="2" fontId="0" fillId="2" borderId="2" xfId="0" applyNumberFormat="1" applyFill="1" applyBorder="1"/>
    <xf numFmtId="49" fontId="1" fillId="0" borderId="0" xfId="0" applyNumberFormat="1" applyFont="1"/>
    <xf numFmtId="49" fontId="0" fillId="0" borderId="0" xfId="0" applyNumberFormat="1"/>
    <xf numFmtId="49" fontId="0" fillId="0" borderId="2" xfId="0" applyNumberFormat="1" applyBorder="1"/>
    <xf numFmtId="49" fontId="0" fillId="2" borderId="2" xfId="0" applyNumberFormat="1" applyFill="1" applyBorder="1"/>
    <xf numFmtId="0" fontId="0" fillId="0" borderId="0" xfId="0" applyAlignment="1">
      <alignment horizontal="left"/>
    </xf>
    <xf numFmtId="0" fontId="1" fillId="0" borderId="0" xfId="0" applyFont="1" applyAlignment="1">
      <alignment horizontal="center"/>
    </xf>
    <xf numFmtId="0" fontId="0" fillId="3" borderId="0" xfId="0" applyFill="1"/>
    <xf numFmtId="164" fontId="0" fillId="0" borderId="0" xfId="0" applyNumberFormat="1"/>
    <xf numFmtId="164" fontId="0" fillId="0" borderId="0" xfId="0" applyNumberFormat="1" applyAlignment="1">
      <alignment horizontal="center"/>
    </xf>
    <xf numFmtId="0" fontId="0" fillId="0" borderId="4" xfId="0" applyBorder="1"/>
    <xf numFmtId="0" fontId="0" fillId="0" borderId="4" xfId="0" applyBorder="1" applyAlignment="1">
      <alignment horizontal="left"/>
    </xf>
    <xf numFmtId="0" fontId="1" fillId="0" borderId="4" xfId="0" applyFont="1" applyBorder="1"/>
    <xf numFmtId="0" fontId="0" fillId="0" borderId="0" xfId="0" pivotButton="1" applyAlignment="1">
      <alignment horizontal="center"/>
    </xf>
    <xf numFmtId="3" fontId="0" fillId="0" borderId="0" xfId="0" applyNumberFormat="1"/>
    <xf numFmtId="0" fontId="1" fillId="0" borderId="0" xfId="0" applyFont="1" applyAlignment="1">
      <alignment horizontal="center"/>
    </xf>
    <xf numFmtId="0" fontId="0" fillId="0" borderId="0" xfId="0" applyAlignment="1">
      <alignment horizontal="center"/>
    </xf>
    <xf numFmtId="0" fontId="0" fillId="0" borderId="0" xfId="0" applyBorder="1"/>
    <xf numFmtId="0" fontId="0" fillId="0" borderId="0" xfId="0" applyNumberFormat="1" applyAlignment="1">
      <alignment horizontal="center"/>
    </xf>
  </cellXfs>
  <cellStyles count="1">
    <cellStyle name="Normal" xfId="0" builtinId="0"/>
  </cellStyles>
  <dxfs count="69">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quot;$&quot;#,##0"/>
    </dxf>
    <dxf>
      <alignment horizontal="center"/>
    </dxf>
    <dxf>
      <alignment horizontal="center"/>
    </dxf>
    <dxf>
      <alignment horizontal="center"/>
    </dxf>
    <dxf>
      <numFmt numFmtId="164" formatCode="&quot;$&quot;#,##0"/>
    </dxf>
    <dxf>
      <alignment horizontal="center"/>
    </dxf>
    <dxf>
      <alignment horizontal="center"/>
    </dxf>
    <dxf>
      <alignment horizontal="center"/>
    </dxf>
    <dxf>
      <numFmt numFmtId="164" formatCode="&quot;$&quot;#,##0"/>
    </dxf>
    <dxf>
      <alignment horizontal="center"/>
    </dxf>
    <dxf>
      <alignment horizontal="center"/>
    </dxf>
    <dxf>
      <alignment horizontal="center"/>
    </dxf>
    <dxf>
      <numFmt numFmtId="164" formatCode="&quot;$&quo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quot;$&quo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quot;$&quot;#,##0"/>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2" formatCode="0.00"/>
    </dxf>
    <dxf>
      <numFmt numFmtId="2" formatCode="0.00"/>
    </dxf>
    <dxf>
      <font>
        <b/>
        <i val="0"/>
        <strike val="0"/>
        <condense val="0"/>
        <extend val="0"/>
        <outline val="0"/>
        <shadow val="0"/>
        <u val="none"/>
        <vertAlign val="baseline"/>
        <sz val="11"/>
        <color theme="1"/>
        <name val="Calibri"/>
        <family val="2"/>
        <scheme val="minor"/>
      </font>
    </dxf>
    <dxf>
      <font>
        <b/>
        <i val="0"/>
        <sz val="8"/>
        <color theme="0"/>
      </font>
      <fill>
        <patternFill patternType="solid">
          <fgColor auto="1"/>
          <bgColor rgb="FF0C0C0C"/>
        </patternFill>
      </fill>
      <border>
        <left style="medium">
          <color auto="1"/>
        </left>
        <right style="medium">
          <color auto="1"/>
        </right>
        <top style="medium">
          <color auto="1"/>
        </top>
        <bottom style="medium">
          <color auto="1"/>
        </bottom>
      </border>
    </dxf>
  </dxfs>
  <tableStyles count="4" defaultTableStyle="TableStyleMedium2" defaultPivotStyle="PivotStyleLight16">
    <tableStyle name="Invisible" pivot="0" table="0" count="0" xr9:uid="{D7D87877-F816-44A7-A302-179C4DBE2B56}"/>
    <tableStyle name="Slicer Style 1" pivot="0" table="0" count="0" xr9:uid="{60FD8288-B812-470A-A0F5-E73C8E20F35E}"/>
    <tableStyle name="Slicer Style 2" pivot="0" table="0" count="1" xr9:uid="{FFC79E2B-8889-43DC-8791-5E4C00655D02}">
      <tableStyleElement type="wholeTable" dxfId="68"/>
    </tableStyle>
    <tableStyle name="Slicer Style 3" pivot="0" table="0" count="0" xr9:uid="{70098FBB-CEA5-462C-8E50-D278985ACB1B}"/>
  </tableStyles>
  <colors>
    <mruColors>
      <color rgb="FF2E4F92"/>
      <color rgb="FF0E182C"/>
      <color rgb="FF171717"/>
      <color rgb="FF0C0C0C"/>
      <color rgb="FF1C1C1C"/>
      <color rgb="FF1A2E52"/>
      <color rgb="FF101C32"/>
      <color rgb="FF0A0745"/>
      <color rgb="FF111F37"/>
      <color rgb="FF1E206C"/>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34" Type="http://schemas.openxmlformats.org/officeDocument/2006/relationships/customXml" Target="../customXml/item6.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customXml" Target="../customXml/item4.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[Brain_Pharmacy_Excel_Project.xlsx]Pivot Table and Analysis!PivotTable16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 and Analysis'!$L$4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D1-43C3-86CC-7FE879F583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D1-43C3-86CC-7FE879F583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Analysis'!$K$5:$K$7</c:f>
              <c:strCache>
                <c:ptCount val="2"/>
                <c:pt idx="0">
                  <c:v>Germany</c:v>
                </c:pt>
                <c:pt idx="1">
                  <c:v>Poland</c:v>
                </c:pt>
              </c:strCache>
            </c:strRef>
          </c:cat>
          <c:val>
            <c:numRef>
              <c:f>'Pivot Table and Analysis'!$L$5:$L$7</c:f>
              <c:numCache>
                <c:formatCode>"$"#,##0</c:formatCode>
                <c:ptCount val="2"/>
                <c:pt idx="0">
                  <c:v>608346</c:v>
                </c:pt>
                <c:pt idx="1">
                  <c:v>1140558</c:v>
                </c:pt>
              </c:numCache>
            </c:numRef>
          </c:val>
          <c:extLst>
            <c:ext xmlns:c16="http://schemas.microsoft.com/office/drawing/2014/chart" uri="{C3380CC4-5D6E-409C-BE32-E72D297353CC}">
              <c16:uniqueId val="{00000000-87DA-4EC1-8498-7B7EE97F0EF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[Brain_Pharmacy_Excel_Project.xlsx]Pivot Table and Analysis!PivotTable15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Analysis'!$P$4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Analysis'!$O$5:$O$7</c:f>
              <c:strCache>
                <c:ptCount val="2"/>
                <c:pt idx="0">
                  <c:v>2017</c:v>
                </c:pt>
                <c:pt idx="1">
                  <c:v>2018</c:v>
                </c:pt>
              </c:strCache>
            </c:strRef>
          </c:cat>
          <c:val>
            <c:numRef>
              <c:f>'Pivot Table and Analysis'!$P$5:$P$7</c:f>
              <c:numCache>
                <c:formatCode>"$"#,##0</c:formatCode>
                <c:ptCount val="2"/>
                <c:pt idx="0">
                  <c:v>539725</c:v>
                </c:pt>
                <c:pt idx="1">
                  <c:v>1209179</c:v>
                </c:pt>
              </c:numCache>
            </c:numRef>
          </c:val>
          <c:smooth val="0"/>
          <c:extLst>
            <c:ext xmlns:c16="http://schemas.microsoft.com/office/drawing/2014/chart" uri="{C3380CC4-5D6E-409C-BE32-E72D297353CC}">
              <c16:uniqueId val="{00000000-E2D4-4977-A526-EC7DCA7DE036}"/>
            </c:ext>
          </c:extLst>
        </c:ser>
        <c:dLbls>
          <c:dLblPos val="t"/>
          <c:showLegendKey val="0"/>
          <c:showVal val="1"/>
          <c:showCatName val="0"/>
          <c:showSerName val="0"/>
          <c:showPercent val="0"/>
          <c:showBubbleSize val="0"/>
        </c:dLbls>
        <c:smooth val="0"/>
        <c:axId val="1065417200"/>
        <c:axId val="1065421880"/>
      </c:lineChart>
      <c:catAx>
        <c:axId val="106541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421880"/>
        <c:crosses val="autoZero"/>
        <c:auto val="1"/>
        <c:lblAlgn val="ctr"/>
        <c:lblOffset val="100"/>
        <c:noMultiLvlLbl val="0"/>
      </c:catAx>
      <c:valAx>
        <c:axId val="1065421880"/>
        <c:scaling>
          <c:orientation val="minMax"/>
        </c:scaling>
        <c:delete val="1"/>
        <c:axPos val="l"/>
        <c:numFmt formatCode="&quot;$&quot;#,##0" sourceLinked="1"/>
        <c:majorTickMark val="none"/>
        <c:minorTickMark val="none"/>
        <c:tickLblPos val="nextTo"/>
        <c:crossAx val="106541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[Brain_Pharmacy_Excel_Project.xlsx]Pivot Table and Analysis!PivotTable14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Analysis'!$T$4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Analysis'!$S$5:$S$7</c:f>
              <c:strCache>
                <c:ptCount val="2"/>
                <c:pt idx="0">
                  <c:v>Immurenol Temarate</c:v>
                </c:pt>
                <c:pt idx="1">
                  <c:v>Raparidol</c:v>
                </c:pt>
              </c:strCache>
            </c:strRef>
          </c:cat>
          <c:val>
            <c:numRef>
              <c:f>'Pivot Table and Analysis'!$T$5:$T$7</c:f>
              <c:numCache>
                <c:formatCode>"$"#,##0</c:formatCode>
                <c:ptCount val="2"/>
                <c:pt idx="0">
                  <c:v>-35451</c:v>
                </c:pt>
                <c:pt idx="1">
                  <c:v>-1870</c:v>
                </c:pt>
              </c:numCache>
            </c:numRef>
          </c:val>
          <c:extLst>
            <c:ext xmlns:c16="http://schemas.microsoft.com/office/drawing/2014/chart" uri="{C3380CC4-5D6E-409C-BE32-E72D297353CC}">
              <c16:uniqueId val="{00000000-AB67-4716-8EFB-64EAE4A72585}"/>
            </c:ext>
          </c:extLst>
        </c:ser>
        <c:dLbls>
          <c:showLegendKey val="0"/>
          <c:showVal val="0"/>
          <c:showCatName val="0"/>
          <c:showSerName val="0"/>
          <c:showPercent val="0"/>
          <c:showBubbleSize val="0"/>
        </c:dLbls>
        <c:gapWidth val="219"/>
        <c:overlap val="-27"/>
        <c:axId val="1065441680"/>
        <c:axId val="1065438080"/>
      </c:barChart>
      <c:catAx>
        <c:axId val="106544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438080"/>
        <c:crosses val="autoZero"/>
        <c:auto val="1"/>
        <c:lblAlgn val="ctr"/>
        <c:lblOffset val="100"/>
        <c:noMultiLvlLbl val="0"/>
      </c:catAx>
      <c:valAx>
        <c:axId val="1065438080"/>
        <c:scaling>
          <c:orientation val="minMax"/>
        </c:scaling>
        <c:delete val="1"/>
        <c:axPos val="l"/>
        <c:numFmt formatCode="&quot;$&quot;#,##0" sourceLinked="1"/>
        <c:majorTickMark val="none"/>
        <c:minorTickMark val="none"/>
        <c:tickLblPos val="nextTo"/>
        <c:crossAx val="106544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[Brain_Pharmacy_Excel_Project.xlsx]Pivot Table and Analysis!PivotTable13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Analysis'!$X$4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Analysis'!$W$5:$W$11</c:f>
              <c:strCache>
                <c:ptCount val="6"/>
                <c:pt idx="0">
                  <c:v>Antiseptics</c:v>
                </c:pt>
                <c:pt idx="1">
                  <c:v>Mood Stabilizers</c:v>
                </c:pt>
                <c:pt idx="2">
                  <c:v>Antibiotics</c:v>
                </c:pt>
                <c:pt idx="3">
                  <c:v>Antimalarial</c:v>
                </c:pt>
                <c:pt idx="4">
                  <c:v>Analgesics</c:v>
                </c:pt>
                <c:pt idx="5">
                  <c:v>Antipiretics</c:v>
                </c:pt>
              </c:strCache>
            </c:strRef>
          </c:cat>
          <c:val>
            <c:numRef>
              <c:f>'Pivot Table and Analysis'!$X$5:$X$11</c:f>
              <c:numCache>
                <c:formatCode>"$"#,##0</c:formatCode>
                <c:ptCount val="6"/>
                <c:pt idx="0">
                  <c:v>521390</c:v>
                </c:pt>
                <c:pt idx="1">
                  <c:v>423987</c:v>
                </c:pt>
                <c:pt idx="2">
                  <c:v>250663</c:v>
                </c:pt>
                <c:pt idx="3">
                  <c:v>205312</c:v>
                </c:pt>
                <c:pt idx="4">
                  <c:v>184751</c:v>
                </c:pt>
                <c:pt idx="5">
                  <c:v>162801</c:v>
                </c:pt>
              </c:numCache>
            </c:numRef>
          </c:val>
          <c:extLst>
            <c:ext xmlns:c16="http://schemas.microsoft.com/office/drawing/2014/chart" uri="{C3380CC4-5D6E-409C-BE32-E72D297353CC}">
              <c16:uniqueId val="{00000000-B374-4B69-B6BA-90B6D26784F4}"/>
            </c:ext>
          </c:extLst>
        </c:ser>
        <c:dLbls>
          <c:dLblPos val="outEnd"/>
          <c:showLegendKey val="0"/>
          <c:showVal val="1"/>
          <c:showCatName val="0"/>
          <c:showSerName val="0"/>
          <c:showPercent val="0"/>
          <c:showBubbleSize val="0"/>
        </c:dLbls>
        <c:gapWidth val="219"/>
        <c:overlap val="-27"/>
        <c:axId val="1201316304"/>
        <c:axId val="1201316664"/>
      </c:barChart>
      <c:catAx>
        <c:axId val="120131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316664"/>
        <c:crosses val="autoZero"/>
        <c:auto val="1"/>
        <c:lblAlgn val="ctr"/>
        <c:lblOffset val="100"/>
        <c:noMultiLvlLbl val="0"/>
      </c:catAx>
      <c:valAx>
        <c:axId val="1201316664"/>
        <c:scaling>
          <c:orientation val="minMax"/>
        </c:scaling>
        <c:delete val="1"/>
        <c:axPos val="l"/>
        <c:numFmt formatCode="&quot;$&quot;#,##0" sourceLinked="1"/>
        <c:majorTickMark val="none"/>
        <c:minorTickMark val="none"/>
        <c:tickLblPos val="nextTo"/>
        <c:crossAx val="120131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[Brain_Pharmacy_Excel_Project.xlsx]Pivot Table and Analysis!PivotTable17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Analysis'!$H$4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Analysis'!$G$5:$G$10</c:f>
              <c:strCache>
                <c:ptCount val="5"/>
                <c:pt idx="0">
                  <c:v>Morphizolid Tianalin</c:v>
                </c:pt>
                <c:pt idx="1">
                  <c:v>Tetratanyl</c:v>
                </c:pt>
                <c:pt idx="2">
                  <c:v>Dexmeprazole Transnuvia</c:v>
                </c:pt>
                <c:pt idx="3">
                  <c:v>Relenstrel Exurabine</c:v>
                </c:pt>
                <c:pt idx="4">
                  <c:v>Ribabyclor</c:v>
                </c:pt>
              </c:strCache>
            </c:strRef>
          </c:cat>
          <c:val>
            <c:numRef>
              <c:f>'Pivot Table and Analysis'!$H$5:$H$10</c:f>
              <c:numCache>
                <c:formatCode>"$"#,##0</c:formatCode>
                <c:ptCount val="5"/>
                <c:pt idx="0">
                  <c:v>56392</c:v>
                </c:pt>
                <c:pt idx="1">
                  <c:v>64386</c:v>
                </c:pt>
                <c:pt idx="2">
                  <c:v>93600</c:v>
                </c:pt>
                <c:pt idx="3">
                  <c:v>107272</c:v>
                </c:pt>
                <c:pt idx="4">
                  <c:v>240597</c:v>
                </c:pt>
              </c:numCache>
            </c:numRef>
          </c:val>
          <c:extLst>
            <c:ext xmlns:c16="http://schemas.microsoft.com/office/drawing/2014/chart" uri="{C3380CC4-5D6E-409C-BE32-E72D297353CC}">
              <c16:uniqueId val="{00000000-8A57-4524-9805-BB188D54D1C8}"/>
            </c:ext>
          </c:extLst>
        </c:ser>
        <c:dLbls>
          <c:dLblPos val="outEnd"/>
          <c:showLegendKey val="0"/>
          <c:showVal val="1"/>
          <c:showCatName val="0"/>
          <c:showSerName val="0"/>
          <c:showPercent val="0"/>
          <c:showBubbleSize val="0"/>
        </c:dLbls>
        <c:gapWidth val="182"/>
        <c:axId val="1198610720"/>
        <c:axId val="1198608920"/>
      </c:barChart>
      <c:catAx>
        <c:axId val="119861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608920"/>
        <c:crosses val="autoZero"/>
        <c:auto val="1"/>
        <c:lblAlgn val="ctr"/>
        <c:lblOffset val="100"/>
        <c:noMultiLvlLbl val="0"/>
      </c:catAx>
      <c:valAx>
        <c:axId val="1198608920"/>
        <c:scaling>
          <c:orientation val="minMax"/>
        </c:scaling>
        <c:delete val="1"/>
        <c:axPos val="b"/>
        <c:numFmt formatCode="&quot;$&quot;#,##0" sourceLinked="1"/>
        <c:majorTickMark val="none"/>
        <c:minorTickMark val="none"/>
        <c:tickLblPos val="nextTo"/>
        <c:crossAx val="119861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[Brain_Pharmacy_Excel_Project.xlsx]Pivot Table and Analysis!PivotTable18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Analysis'!$C$4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Analysis'!$B$5:$B$10</c:f>
              <c:strCache>
                <c:ptCount val="5"/>
                <c:pt idx="0">
                  <c:v>Raparidol</c:v>
                </c:pt>
                <c:pt idx="1">
                  <c:v>Immurenol Temarate</c:v>
                </c:pt>
                <c:pt idx="2">
                  <c:v>Cricane Acamsumab</c:v>
                </c:pt>
                <c:pt idx="3">
                  <c:v>Aggrakine</c:v>
                </c:pt>
                <c:pt idx="4">
                  <c:v>Afluferon Entrarenone</c:v>
                </c:pt>
              </c:strCache>
            </c:strRef>
          </c:cat>
          <c:val>
            <c:numRef>
              <c:f>'Pivot Table and Analysis'!$C$5:$C$10</c:f>
              <c:numCache>
                <c:formatCode>"$"#,##0</c:formatCode>
                <c:ptCount val="5"/>
                <c:pt idx="0">
                  <c:v>0</c:v>
                </c:pt>
                <c:pt idx="1">
                  <c:v>0</c:v>
                </c:pt>
                <c:pt idx="2">
                  <c:v>44</c:v>
                </c:pt>
                <c:pt idx="3">
                  <c:v>94</c:v>
                </c:pt>
                <c:pt idx="4">
                  <c:v>104</c:v>
                </c:pt>
              </c:numCache>
            </c:numRef>
          </c:val>
          <c:extLst>
            <c:ext xmlns:c16="http://schemas.microsoft.com/office/drawing/2014/chart" uri="{C3380CC4-5D6E-409C-BE32-E72D297353CC}">
              <c16:uniqueId val="{00000000-A3E8-43CB-A942-83040A9CD544}"/>
            </c:ext>
          </c:extLst>
        </c:ser>
        <c:dLbls>
          <c:dLblPos val="outEnd"/>
          <c:showLegendKey val="0"/>
          <c:showVal val="1"/>
          <c:showCatName val="0"/>
          <c:showSerName val="0"/>
          <c:showPercent val="0"/>
          <c:showBubbleSize val="0"/>
        </c:dLbls>
        <c:gapWidth val="182"/>
        <c:axId val="1067288080"/>
        <c:axId val="1067287000"/>
      </c:barChart>
      <c:catAx>
        <c:axId val="106728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287000"/>
        <c:crosses val="autoZero"/>
        <c:auto val="1"/>
        <c:lblAlgn val="ctr"/>
        <c:lblOffset val="100"/>
        <c:noMultiLvlLbl val="0"/>
      </c:catAx>
      <c:valAx>
        <c:axId val="1067287000"/>
        <c:scaling>
          <c:orientation val="minMax"/>
        </c:scaling>
        <c:delete val="1"/>
        <c:axPos val="b"/>
        <c:numFmt formatCode="&quot;$&quot;#,##0" sourceLinked="1"/>
        <c:majorTickMark val="none"/>
        <c:minorTickMark val="none"/>
        <c:tickLblPos val="nextTo"/>
        <c:crossAx val="106728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[Brain_Pharmacy_Excel_Project.xlsx]Pivot Table and Analysis!PivotTable17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Analysis'!$H$4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Analysis'!$G$5:$G$10</c:f>
              <c:strCache>
                <c:ptCount val="5"/>
                <c:pt idx="0">
                  <c:v>Morphizolid Tianalin</c:v>
                </c:pt>
                <c:pt idx="1">
                  <c:v>Tetratanyl</c:v>
                </c:pt>
                <c:pt idx="2">
                  <c:v>Dexmeprazole Transnuvia</c:v>
                </c:pt>
                <c:pt idx="3">
                  <c:v>Relenstrel Exurabine</c:v>
                </c:pt>
                <c:pt idx="4">
                  <c:v>Ribabyclor</c:v>
                </c:pt>
              </c:strCache>
            </c:strRef>
          </c:cat>
          <c:val>
            <c:numRef>
              <c:f>'Pivot Table and Analysis'!$H$5:$H$10</c:f>
              <c:numCache>
                <c:formatCode>"$"#,##0</c:formatCode>
                <c:ptCount val="5"/>
                <c:pt idx="0">
                  <c:v>56392</c:v>
                </c:pt>
                <c:pt idx="1">
                  <c:v>64386</c:v>
                </c:pt>
                <c:pt idx="2">
                  <c:v>93600</c:v>
                </c:pt>
                <c:pt idx="3">
                  <c:v>107272</c:v>
                </c:pt>
                <c:pt idx="4">
                  <c:v>240597</c:v>
                </c:pt>
              </c:numCache>
            </c:numRef>
          </c:val>
          <c:extLst>
            <c:ext xmlns:c16="http://schemas.microsoft.com/office/drawing/2014/chart" uri="{C3380CC4-5D6E-409C-BE32-E72D297353CC}">
              <c16:uniqueId val="{00000000-4014-4C02-9CB7-A7454D2F9622}"/>
            </c:ext>
          </c:extLst>
        </c:ser>
        <c:dLbls>
          <c:dLblPos val="outEnd"/>
          <c:showLegendKey val="0"/>
          <c:showVal val="1"/>
          <c:showCatName val="0"/>
          <c:showSerName val="0"/>
          <c:showPercent val="0"/>
          <c:showBubbleSize val="0"/>
        </c:dLbls>
        <c:gapWidth val="60"/>
        <c:axId val="1198610720"/>
        <c:axId val="1198608920"/>
      </c:barChart>
      <c:catAx>
        <c:axId val="119861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crossAx val="1198608920"/>
        <c:crosses val="autoZero"/>
        <c:auto val="1"/>
        <c:lblAlgn val="ctr"/>
        <c:lblOffset val="100"/>
        <c:noMultiLvlLbl val="0"/>
      </c:catAx>
      <c:valAx>
        <c:axId val="1198608920"/>
        <c:scaling>
          <c:orientation val="minMax"/>
        </c:scaling>
        <c:delete val="1"/>
        <c:axPos val="b"/>
        <c:numFmt formatCode="&quot;$&quot;#,##0" sourceLinked="1"/>
        <c:majorTickMark val="none"/>
        <c:minorTickMark val="none"/>
        <c:tickLblPos val="nextTo"/>
        <c:crossAx val="119861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[Brain_Pharmacy_Excel_Project.xlsx]Pivot Table and Analysis!PivotTable18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Analysis'!$C$4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Analysis'!$B$5:$B$10</c:f>
              <c:strCache>
                <c:ptCount val="5"/>
                <c:pt idx="0">
                  <c:v>Raparidol</c:v>
                </c:pt>
                <c:pt idx="1">
                  <c:v>Immurenol Temarate</c:v>
                </c:pt>
                <c:pt idx="2">
                  <c:v>Cricane Acamsumab</c:v>
                </c:pt>
                <c:pt idx="3">
                  <c:v>Aggrakine</c:v>
                </c:pt>
                <c:pt idx="4">
                  <c:v>Afluferon Entrarenone</c:v>
                </c:pt>
              </c:strCache>
            </c:strRef>
          </c:cat>
          <c:val>
            <c:numRef>
              <c:f>'Pivot Table and Analysis'!$C$5:$C$10</c:f>
              <c:numCache>
                <c:formatCode>"$"#,##0</c:formatCode>
                <c:ptCount val="5"/>
                <c:pt idx="0">
                  <c:v>0</c:v>
                </c:pt>
                <c:pt idx="1">
                  <c:v>0</c:v>
                </c:pt>
                <c:pt idx="2">
                  <c:v>44</c:v>
                </c:pt>
                <c:pt idx="3">
                  <c:v>94</c:v>
                </c:pt>
                <c:pt idx="4">
                  <c:v>104</c:v>
                </c:pt>
              </c:numCache>
            </c:numRef>
          </c:val>
          <c:extLst>
            <c:ext xmlns:c16="http://schemas.microsoft.com/office/drawing/2014/chart" uri="{C3380CC4-5D6E-409C-BE32-E72D297353CC}">
              <c16:uniqueId val="{00000000-08F3-468F-BD15-36C511220528}"/>
            </c:ext>
          </c:extLst>
        </c:ser>
        <c:dLbls>
          <c:dLblPos val="outEnd"/>
          <c:showLegendKey val="0"/>
          <c:showVal val="1"/>
          <c:showCatName val="0"/>
          <c:showSerName val="0"/>
          <c:showPercent val="0"/>
          <c:showBubbleSize val="0"/>
        </c:dLbls>
        <c:gapWidth val="60"/>
        <c:axId val="1067288080"/>
        <c:axId val="1067287000"/>
      </c:barChart>
      <c:catAx>
        <c:axId val="106728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crossAx val="1067287000"/>
        <c:crosses val="autoZero"/>
        <c:auto val="1"/>
        <c:lblAlgn val="ctr"/>
        <c:lblOffset val="100"/>
        <c:noMultiLvlLbl val="0"/>
      </c:catAx>
      <c:valAx>
        <c:axId val="1067287000"/>
        <c:scaling>
          <c:orientation val="minMax"/>
        </c:scaling>
        <c:delete val="1"/>
        <c:axPos val="b"/>
        <c:numFmt formatCode="&quot;$&quot;#,##0" sourceLinked="1"/>
        <c:majorTickMark val="none"/>
        <c:minorTickMark val="none"/>
        <c:tickLblPos val="nextTo"/>
        <c:crossAx val="106728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[Brain_Pharmacy_Excel_Project.xlsx]Pivot Table and Analysis!PivotTable16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E182C"/>
          </a:solidFill>
          <a:ln w="19050">
            <a:noFill/>
          </a:ln>
          <a:effectLst/>
        </c:spPr>
      </c:pivotFmt>
      <c:pivotFmt>
        <c:idx val="6"/>
        <c:spPr>
          <a:solidFill>
            <a:srgbClr val="2E4F92"/>
          </a:solidFill>
          <a:ln w="19050">
            <a:noFill/>
          </a:ln>
          <a:effectLst/>
        </c:spPr>
      </c:pivotFmt>
    </c:pivotFmts>
    <c:plotArea>
      <c:layout>
        <c:manualLayout>
          <c:layoutTarget val="inner"/>
          <c:xMode val="edge"/>
          <c:yMode val="edge"/>
          <c:x val="0.28757633787179943"/>
          <c:y val="0.1825"/>
          <c:w val="0.33173127154947235"/>
          <c:h val="0.65500000000000003"/>
        </c:manualLayout>
      </c:layout>
      <c:doughnutChart>
        <c:varyColors val="1"/>
        <c:ser>
          <c:idx val="0"/>
          <c:order val="0"/>
          <c:tx>
            <c:strRef>
              <c:f>'Pivot Table and Analysis'!$L$4</c:f>
              <c:strCache>
                <c:ptCount val="1"/>
                <c:pt idx="0">
                  <c:v>Total</c:v>
                </c:pt>
              </c:strCache>
            </c:strRef>
          </c:tx>
          <c:spPr>
            <a:ln>
              <a:noFill/>
            </a:ln>
          </c:spPr>
          <c:dPt>
            <c:idx val="0"/>
            <c:bubble3D val="0"/>
            <c:spPr>
              <a:solidFill>
                <a:srgbClr val="0E182C"/>
              </a:solidFill>
              <a:ln w="19050">
                <a:noFill/>
              </a:ln>
              <a:effectLst/>
            </c:spPr>
            <c:extLst>
              <c:ext xmlns:c16="http://schemas.microsoft.com/office/drawing/2014/chart" uri="{C3380CC4-5D6E-409C-BE32-E72D297353CC}">
                <c16:uniqueId val="{00000001-19A2-464C-B8FE-6BAA54D99835}"/>
              </c:ext>
            </c:extLst>
          </c:dPt>
          <c:dPt>
            <c:idx val="1"/>
            <c:bubble3D val="0"/>
            <c:spPr>
              <a:solidFill>
                <a:srgbClr val="2E4F92"/>
              </a:solidFill>
              <a:ln w="19050">
                <a:noFill/>
              </a:ln>
              <a:effectLst/>
            </c:spPr>
            <c:extLst>
              <c:ext xmlns:c16="http://schemas.microsoft.com/office/drawing/2014/chart" uri="{C3380CC4-5D6E-409C-BE32-E72D297353CC}">
                <c16:uniqueId val="{00000003-19A2-464C-B8FE-6BAA54D99835}"/>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Analysis'!$K$5:$K$7</c:f>
              <c:strCache>
                <c:ptCount val="2"/>
                <c:pt idx="0">
                  <c:v>Germany</c:v>
                </c:pt>
                <c:pt idx="1">
                  <c:v>Poland</c:v>
                </c:pt>
              </c:strCache>
            </c:strRef>
          </c:cat>
          <c:val>
            <c:numRef>
              <c:f>'Pivot Table and Analysis'!$L$5:$L$7</c:f>
              <c:numCache>
                <c:formatCode>"$"#,##0</c:formatCode>
                <c:ptCount val="2"/>
                <c:pt idx="0">
                  <c:v>608346</c:v>
                </c:pt>
                <c:pt idx="1">
                  <c:v>1140558</c:v>
                </c:pt>
              </c:numCache>
            </c:numRef>
          </c:val>
          <c:extLst>
            <c:ext xmlns:c16="http://schemas.microsoft.com/office/drawing/2014/chart" uri="{C3380CC4-5D6E-409C-BE32-E72D297353CC}">
              <c16:uniqueId val="{00000004-19A2-464C-B8FE-6BAA54D99835}"/>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[Brain_Pharmacy_Excel_Project.xlsx]Pivot Table and Analysis!PivotTable15</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152978885744647E-2"/>
          <c:y val="0.11939091829947848"/>
          <c:w val="0.87969404222851066"/>
          <c:h val="0.65975311775595213"/>
        </c:manualLayout>
      </c:layout>
      <c:lineChart>
        <c:grouping val="standard"/>
        <c:varyColors val="0"/>
        <c:ser>
          <c:idx val="0"/>
          <c:order val="0"/>
          <c:tx>
            <c:strRef>
              <c:f>'Pivot Table and Analysis'!$P$4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Analysis'!$O$5:$O$7</c:f>
              <c:strCache>
                <c:ptCount val="2"/>
                <c:pt idx="0">
                  <c:v>2017</c:v>
                </c:pt>
                <c:pt idx="1">
                  <c:v>2018</c:v>
                </c:pt>
              </c:strCache>
            </c:strRef>
          </c:cat>
          <c:val>
            <c:numRef>
              <c:f>'Pivot Table and Analysis'!$P$5:$P$7</c:f>
              <c:numCache>
                <c:formatCode>"$"#,##0</c:formatCode>
                <c:ptCount val="2"/>
                <c:pt idx="0">
                  <c:v>539725</c:v>
                </c:pt>
                <c:pt idx="1">
                  <c:v>1209179</c:v>
                </c:pt>
              </c:numCache>
            </c:numRef>
          </c:val>
          <c:smooth val="0"/>
          <c:extLst>
            <c:ext xmlns:c16="http://schemas.microsoft.com/office/drawing/2014/chart" uri="{C3380CC4-5D6E-409C-BE32-E72D297353CC}">
              <c16:uniqueId val="{00000000-5861-4394-A617-8F332B15545B}"/>
            </c:ext>
          </c:extLst>
        </c:ser>
        <c:dLbls>
          <c:dLblPos val="t"/>
          <c:showLegendKey val="0"/>
          <c:showVal val="1"/>
          <c:showCatName val="0"/>
          <c:showSerName val="0"/>
          <c:showPercent val="0"/>
          <c:showBubbleSize val="0"/>
        </c:dLbls>
        <c:smooth val="0"/>
        <c:axId val="1065417200"/>
        <c:axId val="1065421880"/>
      </c:lineChart>
      <c:catAx>
        <c:axId val="106541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crossAx val="1065421880"/>
        <c:crosses val="autoZero"/>
        <c:auto val="1"/>
        <c:lblAlgn val="ctr"/>
        <c:lblOffset val="100"/>
        <c:noMultiLvlLbl val="0"/>
      </c:catAx>
      <c:valAx>
        <c:axId val="1065421880"/>
        <c:scaling>
          <c:orientation val="minMax"/>
        </c:scaling>
        <c:delete val="1"/>
        <c:axPos val="l"/>
        <c:numFmt formatCode="&quot;$&quot;#,##0" sourceLinked="1"/>
        <c:majorTickMark val="none"/>
        <c:minorTickMark val="none"/>
        <c:tickLblPos val="nextTo"/>
        <c:crossAx val="106541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[Brain_Pharmacy_Excel_Project.xlsx]Pivot Table and Analysis!PivotTable14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Analysis'!$T$4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Analysis'!$S$5:$S$7</c:f>
              <c:strCache>
                <c:ptCount val="2"/>
                <c:pt idx="0">
                  <c:v>Immurenol Temarate</c:v>
                </c:pt>
                <c:pt idx="1">
                  <c:v>Raparidol</c:v>
                </c:pt>
              </c:strCache>
            </c:strRef>
          </c:cat>
          <c:val>
            <c:numRef>
              <c:f>'Pivot Table and Analysis'!$T$5:$T$7</c:f>
              <c:numCache>
                <c:formatCode>"$"#,##0</c:formatCode>
                <c:ptCount val="2"/>
                <c:pt idx="0">
                  <c:v>-35451</c:v>
                </c:pt>
                <c:pt idx="1">
                  <c:v>-1870</c:v>
                </c:pt>
              </c:numCache>
            </c:numRef>
          </c:val>
          <c:extLst>
            <c:ext xmlns:c16="http://schemas.microsoft.com/office/drawing/2014/chart" uri="{C3380CC4-5D6E-409C-BE32-E72D297353CC}">
              <c16:uniqueId val="{00000000-36BB-411A-8A5F-BCFA88F856FC}"/>
            </c:ext>
          </c:extLst>
        </c:ser>
        <c:dLbls>
          <c:showLegendKey val="0"/>
          <c:showVal val="0"/>
          <c:showCatName val="0"/>
          <c:showSerName val="0"/>
          <c:showPercent val="0"/>
          <c:showBubbleSize val="0"/>
        </c:dLbls>
        <c:gapWidth val="500"/>
        <c:overlap val="-27"/>
        <c:axId val="1065441680"/>
        <c:axId val="1065438080"/>
      </c:barChart>
      <c:catAx>
        <c:axId val="1065441680"/>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crossAx val="1065438080"/>
        <c:crosses val="autoZero"/>
        <c:auto val="1"/>
        <c:lblAlgn val="ctr"/>
        <c:lblOffset val="100"/>
        <c:noMultiLvlLbl val="0"/>
      </c:catAx>
      <c:valAx>
        <c:axId val="1065438080"/>
        <c:scaling>
          <c:orientation val="minMax"/>
        </c:scaling>
        <c:delete val="1"/>
        <c:axPos val="l"/>
        <c:numFmt formatCode="&quot;$&quot;#,##0" sourceLinked="1"/>
        <c:majorTickMark val="none"/>
        <c:minorTickMark val="none"/>
        <c:tickLblPos val="nextTo"/>
        <c:crossAx val="106544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[Brain_Pharmacy_Excel_Project.xlsx]Pivot Table and Analysis!PivotTable13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550714479438265E-2"/>
          <c:y val="7.682399075115609E-2"/>
          <c:w val="0.92748832971279671"/>
          <c:h val="0.66857424071991001"/>
        </c:manualLayout>
      </c:layout>
      <c:barChart>
        <c:barDir val="col"/>
        <c:grouping val="clustered"/>
        <c:varyColors val="0"/>
        <c:ser>
          <c:idx val="0"/>
          <c:order val="0"/>
          <c:tx>
            <c:strRef>
              <c:f>'Pivot Table and Analysis'!$X$4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Analysis'!$W$5:$W$11</c:f>
              <c:strCache>
                <c:ptCount val="6"/>
                <c:pt idx="0">
                  <c:v>Antiseptics</c:v>
                </c:pt>
                <c:pt idx="1">
                  <c:v>Mood Stabilizers</c:v>
                </c:pt>
                <c:pt idx="2">
                  <c:v>Antibiotics</c:v>
                </c:pt>
                <c:pt idx="3">
                  <c:v>Antimalarial</c:v>
                </c:pt>
                <c:pt idx="4">
                  <c:v>Analgesics</c:v>
                </c:pt>
                <c:pt idx="5">
                  <c:v>Antipiretics</c:v>
                </c:pt>
              </c:strCache>
            </c:strRef>
          </c:cat>
          <c:val>
            <c:numRef>
              <c:f>'Pivot Table and Analysis'!$X$5:$X$11</c:f>
              <c:numCache>
                <c:formatCode>"$"#,##0</c:formatCode>
                <c:ptCount val="6"/>
                <c:pt idx="0">
                  <c:v>521390</c:v>
                </c:pt>
                <c:pt idx="1">
                  <c:v>423987</c:v>
                </c:pt>
                <c:pt idx="2">
                  <c:v>250663</c:v>
                </c:pt>
                <c:pt idx="3">
                  <c:v>205312</c:v>
                </c:pt>
                <c:pt idx="4">
                  <c:v>184751</c:v>
                </c:pt>
                <c:pt idx="5">
                  <c:v>162801</c:v>
                </c:pt>
              </c:numCache>
            </c:numRef>
          </c:val>
          <c:extLst>
            <c:ext xmlns:c16="http://schemas.microsoft.com/office/drawing/2014/chart" uri="{C3380CC4-5D6E-409C-BE32-E72D297353CC}">
              <c16:uniqueId val="{00000000-87DF-4A08-BEB4-7C07AFBDBFCA}"/>
            </c:ext>
          </c:extLst>
        </c:ser>
        <c:dLbls>
          <c:dLblPos val="outEnd"/>
          <c:showLegendKey val="0"/>
          <c:showVal val="1"/>
          <c:showCatName val="0"/>
          <c:showSerName val="0"/>
          <c:showPercent val="0"/>
          <c:showBubbleSize val="0"/>
        </c:dLbls>
        <c:gapWidth val="158"/>
        <c:overlap val="-27"/>
        <c:axId val="1201316304"/>
        <c:axId val="1201316664"/>
      </c:barChart>
      <c:catAx>
        <c:axId val="120131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600" b="1" i="0" u="none" strike="noStrike" kern="1200" baseline="0">
                <a:ln>
                  <a:noFill/>
                </a:ln>
                <a:solidFill>
                  <a:schemeClr val="bg1"/>
                </a:solidFill>
                <a:latin typeface="+mn-lt"/>
                <a:ea typeface="+mn-ea"/>
                <a:cs typeface="+mn-cs"/>
              </a:defRPr>
            </a:pPr>
            <a:endParaRPr lang="en-US"/>
          </a:p>
        </c:txPr>
        <c:crossAx val="1201316664"/>
        <c:crosses val="autoZero"/>
        <c:auto val="0"/>
        <c:lblAlgn val="ctr"/>
        <c:lblOffset val="100"/>
        <c:noMultiLvlLbl val="0"/>
      </c:catAx>
      <c:valAx>
        <c:axId val="1201316664"/>
        <c:scaling>
          <c:orientation val="minMax"/>
        </c:scaling>
        <c:delete val="1"/>
        <c:axPos val="l"/>
        <c:numFmt formatCode="&quot;$&quot;#,##0" sourceLinked="1"/>
        <c:majorTickMark val="none"/>
        <c:minorTickMark val="none"/>
        <c:tickLblPos val="nextTo"/>
        <c:crossAx val="1201316304"/>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177800</xdr:colOff>
      <xdr:row>15</xdr:row>
      <xdr:rowOff>34924</xdr:rowOff>
    </xdr:from>
    <xdr:to>
      <xdr:col>12</xdr:col>
      <xdr:colOff>501650</xdr:colOff>
      <xdr:row>31</xdr:row>
      <xdr:rowOff>12699</xdr:rowOff>
    </xdr:to>
    <xdr:graphicFrame macro="">
      <xdr:nvGraphicFramePr>
        <xdr:cNvPr id="14" name="Chart 13">
          <a:extLst>
            <a:ext uri="{FF2B5EF4-FFF2-40B4-BE49-F238E27FC236}">
              <a16:creationId xmlns:a16="http://schemas.microsoft.com/office/drawing/2014/main" id="{0ADF8550-4E98-3993-3DE1-DBA98BE35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171450</xdr:colOff>
      <xdr:row>15</xdr:row>
      <xdr:rowOff>59006</xdr:rowOff>
    </xdr:from>
    <xdr:to>
      <xdr:col>16</xdr:col>
      <xdr:colOff>381000</xdr:colOff>
      <xdr:row>30</xdr:row>
      <xdr:rowOff>170132</xdr:rowOff>
    </xdr:to>
    <xdr:graphicFrame macro="">
      <xdr:nvGraphicFramePr>
        <xdr:cNvPr id="15" name="Chart 14">
          <a:extLst>
            <a:ext uri="{FF2B5EF4-FFF2-40B4-BE49-F238E27FC236}">
              <a16:creationId xmlns:a16="http://schemas.microsoft.com/office/drawing/2014/main" id="{C3355B4A-15E2-3473-6C3B-23A7E06D8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482600</xdr:colOff>
      <xdr:row>15</xdr:row>
      <xdr:rowOff>126422</xdr:rowOff>
    </xdr:from>
    <xdr:to>
      <xdr:col>19</xdr:col>
      <xdr:colOff>1917700</xdr:colOff>
      <xdr:row>29</xdr:row>
      <xdr:rowOff>97847</xdr:rowOff>
    </xdr:to>
    <xdr:graphicFrame macro="">
      <xdr:nvGraphicFramePr>
        <xdr:cNvPr id="16" name="Chart 15">
          <a:extLst>
            <a:ext uri="{FF2B5EF4-FFF2-40B4-BE49-F238E27FC236}">
              <a16:creationId xmlns:a16="http://schemas.microsoft.com/office/drawing/2014/main" id="{0F117BA8-5336-B86A-6E20-8F118F04F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228600</xdr:colOff>
      <xdr:row>15</xdr:row>
      <xdr:rowOff>141475</xdr:rowOff>
    </xdr:from>
    <xdr:to>
      <xdr:col>24</xdr:col>
      <xdr:colOff>419100</xdr:colOff>
      <xdr:row>31</xdr:row>
      <xdr:rowOff>102922</xdr:rowOff>
    </xdr:to>
    <xdr:graphicFrame macro="">
      <xdr:nvGraphicFramePr>
        <xdr:cNvPr id="17" name="Chart 16">
          <a:extLst>
            <a:ext uri="{FF2B5EF4-FFF2-40B4-BE49-F238E27FC236}">
              <a16:creationId xmlns:a16="http://schemas.microsoft.com/office/drawing/2014/main" id="{C4DA9E87-8487-E202-9467-05CCE4908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146050</xdr:colOff>
      <xdr:row>15</xdr:row>
      <xdr:rowOff>9524</xdr:rowOff>
    </xdr:from>
    <xdr:to>
      <xdr:col>8</xdr:col>
      <xdr:colOff>469900</xdr:colOff>
      <xdr:row>30</xdr:row>
      <xdr:rowOff>120650</xdr:rowOff>
    </xdr:to>
    <xdr:graphicFrame macro="">
      <xdr:nvGraphicFramePr>
        <xdr:cNvPr id="18" name="Chart 17">
          <a:extLst>
            <a:ext uri="{FF2B5EF4-FFF2-40B4-BE49-F238E27FC236}">
              <a16:creationId xmlns:a16="http://schemas.microsoft.com/office/drawing/2014/main" id="{E22729BB-46F3-EB97-975C-78FF0F846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254000</xdr:colOff>
      <xdr:row>15</xdr:row>
      <xdr:rowOff>28574</xdr:rowOff>
    </xdr:from>
    <xdr:to>
      <xdr:col>4</xdr:col>
      <xdr:colOff>139700</xdr:colOff>
      <xdr:row>30</xdr:row>
      <xdr:rowOff>31749</xdr:rowOff>
    </xdr:to>
    <xdr:graphicFrame macro="">
      <xdr:nvGraphicFramePr>
        <xdr:cNvPr id="19" name="Chart 18">
          <a:extLst>
            <a:ext uri="{FF2B5EF4-FFF2-40B4-BE49-F238E27FC236}">
              <a16:creationId xmlns:a16="http://schemas.microsoft.com/office/drawing/2014/main" id="{AAA5F50C-54A0-CC32-EEB8-FA53B633F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240630</xdr:colOff>
      <xdr:row>1</xdr:row>
      <xdr:rowOff>21783</xdr:rowOff>
    </xdr:from>
    <xdr:to>
      <xdr:col>16</xdr:col>
      <xdr:colOff>385254</xdr:colOff>
      <xdr:row>27</xdr:row>
      <xdr:rowOff>82933</xdr:rowOff>
    </xdr:to>
    <xdr:sp macro="" textlink="">
      <xdr:nvSpPr>
        <xdr:cNvPr id="2" name="Rectangle: Rounded Corners 1">
          <a:extLst>
            <a:ext uri="{FF2B5EF4-FFF2-40B4-BE49-F238E27FC236}">
              <a16:creationId xmlns:a16="http://schemas.microsoft.com/office/drawing/2014/main" id="{210C5F96-E15E-40F3-7A35-FB3C39AD3195}"/>
            </a:ext>
          </a:extLst>
        </xdr:cNvPr>
        <xdr:cNvSpPr/>
      </xdr:nvSpPr>
      <xdr:spPr>
        <a:xfrm>
          <a:off x="240630" y="203212"/>
          <a:ext cx="9889930" cy="4778292"/>
        </a:xfrm>
        <a:prstGeom prst="roundRect">
          <a:avLst>
            <a:gd name="adj" fmla="val 2499"/>
          </a:avLst>
        </a:prstGeom>
        <a:solidFill>
          <a:srgbClr val="101C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77905</xdr:colOff>
      <xdr:row>7</xdr:row>
      <xdr:rowOff>141111</xdr:rowOff>
    </xdr:from>
    <xdr:to>
      <xdr:col>16</xdr:col>
      <xdr:colOff>289491</xdr:colOff>
      <xdr:row>17</xdr:row>
      <xdr:rowOff>16203</xdr:rowOff>
    </xdr:to>
    <xdr:grpSp>
      <xdr:nvGrpSpPr>
        <xdr:cNvPr id="7" name="Group 6">
          <a:extLst>
            <a:ext uri="{FF2B5EF4-FFF2-40B4-BE49-F238E27FC236}">
              <a16:creationId xmlns:a16="http://schemas.microsoft.com/office/drawing/2014/main" id="{0FFDFA4F-EF37-47A2-85D7-CB0341B2E539}"/>
            </a:ext>
          </a:extLst>
        </xdr:cNvPr>
        <xdr:cNvGrpSpPr/>
      </xdr:nvGrpSpPr>
      <xdr:grpSpPr>
        <a:xfrm>
          <a:off x="7386885" y="1411111"/>
          <a:ext cx="2647912" cy="1689378"/>
          <a:chOff x="2025192" y="464579"/>
          <a:chExt cx="2638286" cy="1913821"/>
        </a:xfrm>
      </xdr:grpSpPr>
      <xdr:sp macro="" textlink="">
        <xdr:nvSpPr>
          <xdr:cNvPr id="8" name="Rectangle: Rounded Corners 7">
            <a:extLst>
              <a:ext uri="{FF2B5EF4-FFF2-40B4-BE49-F238E27FC236}">
                <a16:creationId xmlns:a16="http://schemas.microsoft.com/office/drawing/2014/main" id="{8C1C8C00-11DB-3FFC-5281-AD8352C69836}"/>
              </a:ext>
            </a:extLst>
          </xdr:cNvPr>
          <xdr:cNvSpPr/>
        </xdr:nvSpPr>
        <xdr:spPr>
          <a:xfrm>
            <a:off x="2034035" y="470687"/>
            <a:ext cx="2622496" cy="1907713"/>
          </a:xfrm>
          <a:prstGeom prst="roundRect">
            <a:avLst>
              <a:gd name="adj" fmla="val 5129"/>
            </a:avLst>
          </a:prstGeom>
          <a:gradFill flip="none" rotWithShape="1">
            <a:gsLst>
              <a:gs pos="35000">
                <a:srgbClr val="1A2E52"/>
              </a:gs>
              <a:gs pos="2000">
                <a:srgbClr val="101C32"/>
              </a:gs>
              <a:gs pos="69000">
                <a:srgbClr val="1A2E52"/>
              </a:gs>
              <a:gs pos="100000">
                <a:srgbClr val="101C32"/>
              </a:gs>
            </a:gsLst>
            <a:lin ang="162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9" name="Rectangle: Rounded Corners 8">
            <a:extLst>
              <a:ext uri="{FF2B5EF4-FFF2-40B4-BE49-F238E27FC236}">
                <a16:creationId xmlns:a16="http://schemas.microsoft.com/office/drawing/2014/main" id="{1F33E2CF-428A-67C8-206B-DC613D47F8E1}"/>
              </a:ext>
            </a:extLst>
          </xdr:cNvPr>
          <xdr:cNvSpPr/>
        </xdr:nvSpPr>
        <xdr:spPr>
          <a:xfrm>
            <a:off x="2025192" y="464579"/>
            <a:ext cx="2638286" cy="379101"/>
          </a:xfrm>
          <a:prstGeom prst="roundRect">
            <a:avLst>
              <a:gd name="adj" fmla="val 28945"/>
            </a:avLst>
          </a:prstGeom>
          <a:gradFill flip="none" rotWithShape="1">
            <a:gsLst>
              <a:gs pos="35000">
                <a:schemeClr val="tx2">
                  <a:lumMod val="45000"/>
                </a:schemeClr>
              </a:gs>
              <a:gs pos="2000">
                <a:schemeClr val="tx1">
                  <a:lumMod val="87000"/>
                  <a:lumOff val="13000"/>
                </a:schemeClr>
              </a:gs>
              <a:gs pos="69000">
                <a:schemeClr val="tx1">
                  <a:lumMod val="87000"/>
                  <a:lumOff val="13000"/>
                </a:schemeClr>
              </a:gs>
              <a:gs pos="100000">
                <a:srgbClr val="101C32"/>
              </a:gs>
            </a:gsLst>
            <a:lin ang="108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3</xdr:col>
      <xdr:colOff>75037</xdr:colOff>
      <xdr:row>17</xdr:row>
      <xdr:rowOff>113942</xdr:rowOff>
    </xdr:from>
    <xdr:to>
      <xdr:col>16</xdr:col>
      <xdr:colOff>286661</xdr:colOff>
      <xdr:row>26</xdr:row>
      <xdr:rowOff>174244</xdr:rowOff>
    </xdr:to>
    <xdr:grpSp>
      <xdr:nvGrpSpPr>
        <xdr:cNvPr id="14" name="Group 13">
          <a:extLst>
            <a:ext uri="{FF2B5EF4-FFF2-40B4-BE49-F238E27FC236}">
              <a16:creationId xmlns:a16="http://schemas.microsoft.com/office/drawing/2014/main" id="{8B635148-EB79-4800-9E01-EAFEC7A1AD77}"/>
            </a:ext>
          </a:extLst>
        </xdr:cNvPr>
        <xdr:cNvGrpSpPr/>
      </xdr:nvGrpSpPr>
      <xdr:grpSpPr>
        <a:xfrm>
          <a:off x="1902282" y="3198228"/>
          <a:ext cx="8129685" cy="1693159"/>
          <a:chOff x="1898192" y="450468"/>
          <a:chExt cx="8099743" cy="1913821"/>
        </a:xfrm>
      </xdr:grpSpPr>
      <xdr:grpSp>
        <xdr:nvGrpSpPr>
          <xdr:cNvPr id="15" name="Group 14">
            <a:extLst>
              <a:ext uri="{FF2B5EF4-FFF2-40B4-BE49-F238E27FC236}">
                <a16:creationId xmlns:a16="http://schemas.microsoft.com/office/drawing/2014/main" id="{1AB1DF65-C3A0-D4E8-1F38-99A84A3DCC46}"/>
              </a:ext>
            </a:extLst>
          </xdr:cNvPr>
          <xdr:cNvGrpSpPr/>
        </xdr:nvGrpSpPr>
        <xdr:grpSpPr>
          <a:xfrm>
            <a:off x="1898192" y="450468"/>
            <a:ext cx="2638286" cy="1913821"/>
            <a:chOff x="2025192" y="464579"/>
            <a:chExt cx="2638286" cy="1913821"/>
          </a:xfrm>
        </xdr:grpSpPr>
        <xdr:sp macro="" textlink="">
          <xdr:nvSpPr>
            <xdr:cNvPr id="22" name="Rectangle: Rounded Corners 21">
              <a:extLst>
                <a:ext uri="{FF2B5EF4-FFF2-40B4-BE49-F238E27FC236}">
                  <a16:creationId xmlns:a16="http://schemas.microsoft.com/office/drawing/2014/main" id="{63E7665C-F8FE-B04F-1B5C-0F8334D31620}"/>
                </a:ext>
              </a:extLst>
            </xdr:cNvPr>
            <xdr:cNvSpPr/>
          </xdr:nvSpPr>
          <xdr:spPr>
            <a:xfrm>
              <a:off x="2034035" y="470687"/>
              <a:ext cx="2622496" cy="1907713"/>
            </a:xfrm>
            <a:prstGeom prst="roundRect">
              <a:avLst>
                <a:gd name="adj" fmla="val 5129"/>
              </a:avLst>
            </a:prstGeom>
            <a:gradFill flip="none" rotWithShape="1">
              <a:gsLst>
                <a:gs pos="35000">
                  <a:srgbClr val="1A2E52"/>
                </a:gs>
                <a:gs pos="2000">
                  <a:srgbClr val="101C32"/>
                </a:gs>
                <a:gs pos="69000">
                  <a:srgbClr val="1A2E52"/>
                </a:gs>
                <a:gs pos="100000">
                  <a:srgbClr val="101C32"/>
                </a:gs>
              </a:gsLst>
              <a:lin ang="162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3" name="Rectangle: Rounded Corners 22">
              <a:extLst>
                <a:ext uri="{FF2B5EF4-FFF2-40B4-BE49-F238E27FC236}">
                  <a16:creationId xmlns:a16="http://schemas.microsoft.com/office/drawing/2014/main" id="{3ED33B1F-0464-7EFD-DAB2-5DE7AF4AFA76}"/>
                </a:ext>
              </a:extLst>
            </xdr:cNvPr>
            <xdr:cNvSpPr/>
          </xdr:nvSpPr>
          <xdr:spPr>
            <a:xfrm>
              <a:off x="2025192" y="464579"/>
              <a:ext cx="2638286" cy="379101"/>
            </a:xfrm>
            <a:prstGeom prst="roundRect">
              <a:avLst>
                <a:gd name="adj" fmla="val 28945"/>
              </a:avLst>
            </a:prstGeom>
            <a:gradFill flip="none" rotWithShape="1">
              <a:gsLst>
                <a:gs pos="35000">
                  <a:schemeClr val="tx2">
                    <a:lumMod val="45000"/>
                  </a:schemeClr>
                </a:gs>
                <a:gs pos="2000">
                  <a:schemeClr val="tx1">
                    <a:lumMod val="87000"/>
                    <a:lumOff val="13000"/>
                  </a:schemeClr>
                </a:gs>
                <a:gs pos="69000">
                  <a:schemeClr val="tx1">
                    <a:lumMod val="87000"/>
                    <a:lumOff val="13000"/>
                  </a:schemeClr>
                </a:gs>
                <a:gs pos="100000">
                  <a:srgbClr val="101C32"/>
                </a:gs>
              </a:gsLst>
              <a:lin ang="108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grpSp>
        <xdr:nvGrpSpPr>
          <xdr:cNvPr id="16" name="Group 15">
            <a:extLst>
              <a:ext uri="{FF2B5EF4-FFF2-40B4-BE49-F238E27FC236}">
                <a16:creationId xmlns:a16="http://schemas.microsoft.com/office/drawing/2014/main" id="{74AB0AEC-1885-AB2E-E3D1-002412CFA913}"/>
              </a:ext>
            </a:extLst>
          </xdr:cNvPr>
          <xdr:cNvGrpSpPr/>
        </xdr:nvGrpSpPr>
        <xdr:grpSpPr>
          <a:xfrm>
            <a:off x="7359649" y="450468"/>
            <a:ext cx="2638286" cy="1913821"/>
            <a:chOff x="2025192" y="464579"/>
            <a:chExt cx="2638286" cy="1913821"/>
          </a:xfrm>
        </xdr:grpSpPr>
        <xdr:sp macro="" textlink="">
          <xdr:nvSpPr>
            <xdr:cNvPr id="20" name="Rectangle: Rounded Corners 19">
              <a:extLst>
                <a:ext uri="{FF2B5EF4-FFF2-40B4-BE49-F238E27FC236}">
                  <a16:creationId xmlns:a16="http://schemas.microsoft.com/office/drawing/2014/main" id="{428A33C1-7014-5FB0-976A-A1EE932D6BC7}"/>
                </a:ext>
              </a:extLst>
            </xdr:cNvPr>
            <xdr:cNvSpPr/>
          </xdr:nvSpPr>
          <xdr:spPr>
            <a:xfrm>
              <a:off x="2034035" y="470687"/>
              <a:ext cx="2622496" cy="1907713"/>
            </a:xfrm>
            <a:prstGeom prst="roundRect">
              <a:avLst>
                <a:gd name="adj" fmla="val 5129"/>
              </a:avLst>
            </a:prstGeom>
            <a:gradFill flip="none" rotWithShape="1">
              <a:gsLst>
                <a:gs pos="35000">
                  <a:srgbClr val="1A2E52"/>
                </a:gs>
                <a:gs pos="2000">
                  <a:srgbClr val="101C32"/>
                </a:gs>
                <a:gs pos="69000">
                  <a:srgbClr val="1A2E52"/>
                </a:gs>
                <a:gs pos="100000">
                  <a:srgbClr val="101C32"/>
                </a:gs>
              </a:gsLst>
              <a:lin ang="162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1" name="Rectangle: Rounded Corners 20">
              <a:extLst>
                <a:ext uri="{FF2B5EF4-FFF2-40B4-BE49-F238E27FC236}">
                  <a16:creationId xmlns:a16="http://schemas.microsoft.com/office/drawing/2014/main" id="{324FD061-C2D8-C633-31CB-BD0A852B166C}"/>
                </a:ext>
              </a:extLst>
            </xdr:cNvPr>
            <xdr:cNvSpPr/>
          </xdr:nvSpPr>
          <xdr:spPr>
            <a:xfrm>
              <a:off x="2025192" y="464579"/>
              <a:ext cx="2638286" cy="379101"/>
            </a:xfrm>
            <a:prstGeom prst="roundRect">
              <a:avLst>
                <a:gd name="adj" fmla="val 28945"/>
              </a:avLst>
            </a:prstGeom>
            <a:gradFill flip="none" rotWithShape="1">
              <a:gsLst>
                <a:gs pos="35000">
                  <a:schemeClr val="tx2">
                    <a:lumMod val="45000"/>
                  </a:schemeClr>
                </a:gs>
                <a:gs pos="2000">
                  <a:schemeClr val="tx1">
                    <a:lumMod val="87000"/>
                    <a:lumOff val="13000"/>
                  </a:schemeClr>
                </a:gs>
                <a:gs pos="69000">
                  <a:schemeClr val="tx1">
                    <a:lumMod val="87000"/>
                    <a:lumOff val="13000"/>
                  </a:schemeClr>
                </a:gs>
                <a:gs pos="100000">
                  <a:srgbClr val="101C32"/>
                </a:gs>
              </a:gsLst>
              <a:lin ang="108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grpSp>
        <xdr:nvGrpSpPr>
          <xdr:cNvPr id="17" name="Group 16">
            <a:extLst>
              <a:ext uri="{FF2B5EF4-FFF2-40B4-BE49-F238E27FC236}">
                <a16:creationId xmlns:a16="http://schemas.microsoft.com/office/drawing/2014/main" id="{ED17A87D-3D28-7DBF-E8AC-EB23297353A9}"/>
              </a:ext>
            </a:extLst>
          </xdr:cNvPr>
          <xdr:cNvGrpSpPr/>
        </xdr:nvGrpSpPr>
        <xdr:grpSpPr>
          <a:xfrm>
            <a:off x="4626328" y="450468"/>
            <a:ext cx="2638286" cy="1913821"/>
            <a:chOff x="2025192" y="464579"/>
            <a:chExt cx="2638286" cy="1913821"/>
          </a:xfrm>
        </xdr:grpSpPr>
        <xdr:sp macro="" textlink="">
          <xdr:nvSpPr>
            <xdr:cNvPr id="18" name="Rectangle: Rounded Corners 17">
              <a:extLst>
                <a:ext uri="{FF2B5EF4-FFF2-40B4-BE49-F238E27FC236}">
                  <a16:creationId xmlns:a16="http://schemas.microsoft.com/office/drawing/2014/main" id="{A2994D61-09DD-BB37-EB01-0E2731EB5EB5}"/>
                </a:ext>
              </a:extLst>
            </xdr:cNvPr>
            <xdr:cNvSpPr/>
          </xdr:nvSpPr>
          <xdr:spPr>
            <a:xfrm>
              <a:off x="2034035" y="470687"/>
              <a:ext cx="2622496" cy="1907713"/>
            </a:xfrm>
            <a:prstGeom prst="roundRect">
              <a:avLst>
                <a:gd name="adj" fmla="val 5129"/>
              </a:avLst>
            </a:prstGeom>
            <a:gradFill flip="none" rotWithShape="1">
              <a:gsLst>
                <a:gs pos="35000">
                  <a:srgbClr val="1A2E52"/>
                </a:gs>
                <a:gs pos="2000">
                  <a:srgbClr val="101C32"/>
                </a:gs>
                <a:gs pos="69000">
                  <a:srgbClr val="1A2E52"/>
                </a:gs>
                <a:gs pos="100000">
                  <a:srgbClr val="101C32"/>
                </a:gs>
              </a:gsLst>
              <a:lin ang="162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9" name="Rectangle: Rounded Corners 18">
              <a:extLst>
                <a:ext uri="{FF2B5EF4-FFF2-40B4-BE49-F238E27FC236}">
                  <a16:creationId xmlns:a16="http://schemas.microsoft.com/office/drawing/2014/main" id="{E64E5963-4387-BD80-0B4B-25191CF74D05}"/>
                </a:ext>
              </a:extLst>
            </xdr:cNvPr>
            <xdr:cNvSpPr/>
          </xdr:nvSpPr>
          <xdr:spPr>
            <a:xfrm>
              <a:off x="2025192" y="464579"/>
              <a:ext cx="2638286" cy="379101"/>
            </a:xfrm>
            <a:prstGeom prst="roundRect">
              <a:avLst>
                <a:gd name="adj" fmla="val 28945"/>
              </a:avLst>
            </a:prstGeom>
            <a:gradFill flip="none" rotWithShape="1">
              <a:gsLst>
                <a:gs pos="35000">
                  <a:schemeClr val="tx2">
                    <a:lumMod val="45000"/>
                  </a:schemeClr>
                </a:gs>
                <a:gs pos="2000">
                  <a:schemeClr val="tx1">
                    <a:lumMod val="87000"/>
                    <a:lumOff val="13000"/>
                  </a:schemeClr>
                </a:gs>
                <a:gs pos="69000">
                  <a:schemeClr val="tx1">
                    <a:lumMod val="87000"/>
                    <a:lumOff val="13000"/>
                  </a:schemeClr>
                </a:gs>
                <a:gs pos="100000">
                  <a:srgbClr val="101C32"/>
                </a:gs>
              </a:gsLst>
              <a:lin ang="108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grpSp>
    <xdr:clientData/>
  </xdr:twoCellAnchor>
  <xdr:twoCellAnchor>
    <xdr:from>
      <xdr:col>0</xdr:col>
      <xdr:colOff>340894</xdr:colOff>
      <xdr:row>5</xdr:row>
      <xdr:rowOff>98779</xdr:rowOff>
    </xdr:from>
    <xdr:to>
      <xdr:col>2</xdr:col>
      <xdr:colOff>599721</xdr:colOff>
      <xdr:row>27</xdr:row>
      <xdr:rowOff>1</xdr:rowOff>
    </xdr:to>
    <xdr:sp macro="" textlink="">
      <xdr:nvSpPr>
        <xdr:cNvPr id="24" name="Rectangle: Rounded Corners 23">
          <a:extLst>
            <a:ext uri="{FF2B5EF4-FFF2-40B4-BE49-F238E27FC236}">
              <a16:creationId xmlns:a16="http://schemas.microsoft.com/office/drawing/2014/main" id="{8190113D-CA2B-F14C-C67B-6543B7AE067F}"/>
            </a:ext>
          </a:extLst>
        </xdr:cNvPr>
        <xdr:cNvSpPr/>
      </xdr:nvSpPr>
      <xdr:spPr>
        <a:xfrm>
          <a:off x="340894" y="1034568"/>
          <a:ext cx="1475353" cy="4018696"/>
        </a:xfrm>
        <a:prstGeom prst="roundRect">
          <a:avLst>
            <a:gd name="adj" fmla="val 6039"/>
          </a:avLst>
        </a:prstGeom>
        <a:gradFill>
          <a:gsLst>
            <a:gs pos="47000">
              <a:srgbClr val="1A2E52"/>
            </a:gs>
            <a:gs pos="17000">
              <a:srgbClr val="101C32"/>
            </a:gs>
            <a:gs pos="86000">
              <a:srgbClr val="101C32"/>
            </a:gs>
          </a:gsLst>
          <a:lin ang="126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77867</xdr:colOff>
      <xdr:row>7</xdr:row>
      <xdr:rowOff>141111</xdr:rowOff>
    </xdr:from>
    <xdr:to>
      <xdr:col>7</xdr:col>
      <xdr:colOff>289453</xdr:colOff>
      <xdr:row>17</xdr:row>
      <xdr:rowOff>16204</xdr:rowOff>
    </xdr:to>
    <xdr:grpSp>
      <xdr:nvGrpSpPr>
        <xdr:cNvPr id="6" name="Group 5">
          <a:extLst>
            <a:ext uri="{FF2B5EF4-FFF2-40B4-BE49-F238E27FC236}">
              <a16:creationId xmlns:a16="http://schemas.microsoft.com/office/drawing/2014/main" id="{39C902B1-34D1-531D-1953-0D37EC81BA14}"/>
            </a:ext>
          </a:extLst>
        </xdr:cNvPr>
        <xdr:cNvGrpSpPr/>
      </xdr:nvGrpSpPr>
      <xdr:grpSpPr>
        <a:xfrm>
          <a:off x="1905112" y="1411111"/>
          <a:ext cx="2647912" cy="1689379"/>
          <a:chOff x="2025192" y="464579"/>
          <a:chExt cx="2638286" cy="1913821"/>
        </a:xfrm>
      </xdr:grpSpPr>
      <xdr:sp macro="" textlink="">
        <xdr:nvSpPr>
          <xdr:cNvPr id="3" name="Rectangle: Rounded Corners 2">
            <a:extLst>
              <a:ext uri="{FF2B5EF4-FFF2-40B4-BE49-F238E27FC236}">
                <a16:creationId xmlns:a16="http://schemas.microsoft.com/office/drawing/2014/main" id="{20D416D6-1A80-BD78-0E01-357460481910}"/>
              </a:ext>
            </a:extLst>
          </xdr:cNvPr>
          <xdr:cNvSpPr/>
        </xdr:nvSpPr>
        <xdr:spPr>
          <a:xfrm>
            <a:off x="2034035" y="470687"/>
            <a:ext cx="2622496" cy="1907713"/>
          </a:xfrm>
          <a:prstGeom prst="roundRect">
            <a:avLst>
              <a:gd name="adj" fmla="val 5129"/>
            </a:avLst>
          </a:prstGeom>
          <a:gradFill flip="none" rotWithShape="1">
            <a:gsLst>
              <a:gs pos="35000">
                <a:srgbClr val="1A2E52"/>
              </a:gs>
              <a:gs pos="2000">
                <a:srgbClr val="101C32"/>
              </a:gs>
              <a:gs pos="69000">
                <a:srgbClr val="1A2E52"/>
              </a:gs>
              <a:gs pos="100000">
                <a:srgbClr val="101C32"/>
              </a:gs>
            </a:gsLst>
            <a:lin ang="162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 name="Rectangle: Rounded Corners 3">
            <a:extLst>
              <a:ext uri="{FF2B5EF4-FFF2-40B4-BE49-F238E27FC236}">
                <a16:creationId xmlns:a16="http://schemas.microsoft.com/office/drawing/2014/main" id="{0E0AEC79-CE93-29C7-A8F4-00C3BC5B9523}"/>
              </a:ext>
            </a:extLst>
          </xdr:cNvPr>
          <xdr:cNvSpPr/>
        </xdr:nvSpPr>
        <xdr:spPr>
          <a:xfrm>
            <a:off x="2025192" y="464579"/>
            <a:ext cx="2638286" cy="379101"/>
          </a:xfrm>
          <a:prstGeom prst="roundRect">
            <a:avLst>
              <a:gd name="adj" fmla="val 28945"/>
            </a:avLst>
          </a:prstGeom>
          <a:gradFill flip="none" rotWithShape="1">
            <a:gsLst>
              <a:gs pos="35000">
                <a:schemeClr val="tx2">
                  <a:lumMod val="45000"/>
                </a:schemeClr>
              </a:gs>
              <a:gs pos="2000">
                <a:schemeClr val="tx1">
                  <a:lumMod val="87000"/>
                  <a:lumOff val="13000"/>
                </a:schemeClr>
              </a:gs>
              <a:gs pos="69000">
                <a:schemeClr val="tx1">
                  <a:lumMod val="87000"/>
                  <a:lumOff val="13000"/>
                </a:schemeClr>
              </a:gs>
              <a:gs pos="100000">
                <a:srgbClr val="101C32"/>
              </a:gs>
            </a:gsLst>
            <a:lin ang="108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4</xdr:col>
      <xdr:colOff>121704</xdr:colOff>
      <xdr:row>7</xdr:row>
      <xdr:rowOff>179916</xdr:rowOff>
    </xdr:from>
    <xdr:to>
      <xdr:col>6</xdr:col>
      <xdr:colOff>253998</xdr:colOff>
      <xdr:row>9</xdr:row>
      <xdr:rowOff>74084</xdr:rowOff>
    </xdr:to>
    <xdr:sp macro="" textlink="">
      <xdr:nvSpPr>
        <xdr:cNvPr id="33" name="TextBox 32">
          <a:extLst>
            <a:ext uri="{FF2B5EF4-FFF2-40B4-BE49-F238E27FC236}">
              <a16:creationId xmlns:a16="http://schemas.microsoft.com/office/drawing/2014/main" id="{6BFE165C-AAB3-72B5-C865-1DDADCD136AE}"/>
            </a:ext>
          </a:extLst>
        </xdr:cNvPr>
        <xdr:cNvSpPr txBox="1"/>
      </xdr:nvSpPr>
      <xdr:spPr>
        <a:xfrm>
          <a:off x="2558031" y="1449916"/>
          <a:ext cx="1350457" cy="25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Top</a:t>
          </a:r>
          <a:r>
            <a:rPr lang="en-GB" sz="1100" b="1" baseline="0">
              <a:solidFill>
                <a:schemeClr val="bg1"/>
              </a:solidFill>
            </a:rPr>
            <a:t> 5</a:t>
          </a:r>
          <a:r>
            <a:rPr lang="en-GB" sz="1100" b="1">
              <a:solidFill>
                <a:schemeClr val="bg1"/>
              </a:solidFill>
            </a:rPr>
            <a:t> Product Sales</a:t>
          </a:r>
        </a:p>
      </xdr:txBody>
    </xdr:sp>
    <xdr:clientData/>
  </xdr:twoCellAnchor>
  <xdr:twoCellAnchor>
    <xdr:from>
      <xdr:col>7</xdr:col>
      <xdr:colOff>379557</xdr:colOff>
      <xdr:row>7</xdr:row>
      <xdr:rowOff>141111</xdr:rowOff>
    </xdr:from>
    <xdr:to>
      <xdr:col>11</xdr:col>
      <xdr:colOff>591144</xdr:colOff>
      <xdr:row>17</xdr:row>
      <xdr:rowOff>16204</xdr:rowOff>
    </xdr:to>
    <xdr:grpSp>
      <xdr:nvGrpSpPr>
        <xdr:cNvPr id="10" name="Group 9">
          <a:extLst>
            <a:ext uri="{FF2B5EF4-FFF2-40B4-BE49-F238E27FC236}">
              <a16:creationId xmlns:a16="http://schemas.microsoft.com/office/drawing/2014/main" id="{1D5B9B05-4E20-42AC-A082-506B33F7E69A}"/>
            </a:ext>
          </a:extLst>
        </xdr:cNvPr>
        <xdr:cNvGrpSpPr/>
      </xdr:nvGrpSpPr>
      <xdr:grpSpPr>
        <a:xfrm>
          <a:off x="4643128" y="1411111"/>
          <a:ext cx="2647914" cy="1689379"/>
          <a:chOff x="2025192" y="464579"/>
          <a:chExt cx="2638286" cy="1913821"/>
        </a:xfrm>
      </xdr:grpSpPr>
      <xdr:sp macro="" textlink="">
        <xdr:nvSpPr>
          <xdr:cNvPr id="11" name="Rectangle: Rounded Corners 10">
            <a:extLst>
              <a:ext uri="{FF2B5EF4-FFF2-40B4-BE49-F238E27FC236}">
                <a16:creationId xmlns:a16="http://schemas.microsoft.com/office/drawing/2014/main" id="{E2FD6178-BB26-5C6B-F3FF-4B95364B8304}"/>
              </a:ext>
            </a:extLst>
          </xdr:cNvPr>
          <xdr:cNvSpPr/>
        </xdr:nvSpPr>
        <xdr:spPr>
          <a:xfrm>
            <a:off x="2034035" y="470687"/>
            <a:ext cx="2622496" cy="1907713"/>
          </a:xfrm>
          <a:prstGeom prst="roundRect">
            <a:avLst>
              <a:gd name="adj" fmla="val 5129"/>
            </a:avLst>
          </a:prstGeom>
          <a:gradFill flip="none" rotWithShape="1">
            <a:gsLst>
              <a:gs pos="35000">
                <a:srgbClr val="1A2E52"/>
              </a:gs>
              <a:gs pos="2000">
                <a:srgbClr val="101C32"/>
              </a:gs>
              <a:gs pos="69000">
                <a:srgbClr val="1A2E52"/>
              </a:gs>
              <a:gs pos="100000">
                <a:srgbClr val="101C32"/>
              </a:gs>
            </a:gsLst>
            <a:lin ang="162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2" name="Rectangle: Rounded Corners 11">
            <a:extLst>
              <a:ext uri="{FF2B5EF4-FFF2-40B4-BE49-F238E27FC236}">
                <a16:creationId xmlns:a16="http://schemas.microsoft.com/office/drawing/2014/main" id="{CA93EB06-ABE9-4F78-79F1-6226B4CA8C28}"/>
              </a:ext>
            </a:extLst>
          </xdr:cNvPr>
          <xdr:cNvSpPr/>
        </xdr:nvSpPr>
        <xdr:spPr>
          <a:xfrm>
            <a:off x="2025192" y="464579"/>
            <a:ext cx="2638286" cy="379101"/>
          </a:xfrm>
          <a:prstGeom prst="roundRect">
            <a:avLst>
              <a:gd name="adj" fmla="val 28945"/>
            </a:avLst>
          </a:prstGeom>
          <a:gradFill flip="none" rotWithShape="1">
            <a:gsLst>
              <a:gs pos="35000">
                <a:schemeClr val="tx2">
                  <a:lumMod val="45000"/>
                </a:schemeClr>
              </a:gs>
              <a:gs pos="2000">
                <a:schemeClr val="tx1">
                  <a:lumMod val="87000"/>
                  <a:lumOff val="13000"/>
                </a:schemeClr>
              </a:gs>
              <a:gs pos="69000">
                <a:schemeClr val="tx1">
                  <a:lumMod val="87000"/>
                  <a:lumOff val="13000"/>
                </a:schemeClr>
              </a:gs>
              <a:gs pos="100000">
                <a:srgbClr val="101C32"/>
              </a:gs>
            </a:gsLst>
            <a:lin ang="108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8</xdr:col>
      <xdr:colOff>353493</xdr:colOff>
      <xdr:row>7</xdr:row>
      <xdr:rowOff>178856</xdr:rowOff>
    </xdr:from>
    <xdr:to>
      <xdr:col>11</xdr:col>
      <xdr:colOff>79373</xdr:colOff>
      <xdr:row>9</xdr:row>
      <xdr:rowOff>74082</xdr:rowOff>
    </xdr:to>
    <xdr:sp macro="" textlink="">
      <xdr:nvSpPr>
        <xdr:cNvPr id="36" name="TextBox 35">
          <a:extLst>
            <a:ext uri="{FF2B5EF4-FFF2-40B4-BE49-F238E27FC236}">
              <a16:creationId xmlns:a16="http://schemas.microsoft.com/office/drawing/2014/main" id="{DD5CAFD2-3A5D-4536-99F9-80B2AEAA93C5}"/>
            </a:ext>
          </a:extLst>
        </xdr:cNvPr>
        <xdr:cNvSpPr txBox="1"/>
      </xdr:nvSpPr>
      <xdr:spPr>
        <a:xfrm>
          <a:off x="5221826" y="1475314"/>
          <a:ext cx="1551505" cy="26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Bottom</a:t>
          </a:r>
          <a:r>
            <a:rPr lang="en-GB" sz="1100" b="1" baseline="0">
              <a:solidFill>
                <a:schemeClr val="bg1"/>
              </a:solidFill>
            </a:rPr>
            <a:t> 5 </a:t>
          </a:r>
          <a:r>
            <a:rPr lang="en-GB" sz="1100" b="1">
              <a:solidFill>
                <a:schemeClr val="bg1"/>
              </a:solidFill>
            </a:rPr>
            <a:t>Product Sales</a:t>
          </a:r>
        </a:p>
      </xdr:txBody>
    </xdr:sp>
    <xdr:clientData/>
  </xdr:twoCellAnchor>
  <xdr:twoCellAnchor>
    <xdr:from>
      <xdr:col>12</xdr:col>
      <xdr:colOff>532364</xdr:colOff>
      <xdr:row>7</xdr:row>
      <xdr:rowOff>183089</xdr:rowOff>
    </xdr:from>
    <xdr:to>
      <xdr:col>15</xdr:col>
      <xdr:colOff>486832</xdr:colOff>
      <xdr:row>9</xdr:row>
      <xdr:rowOff>78315</xdr:rowOff>
    </xdr:to>
    <xdr:sp macro="" textlink="">
      <xdr:nvSpPr>
        <xdr:cNvPr id="39" name="TextBox 38">
          <a:extLst>
            <a:ext uri="{FF2B5EF4-FFF2-40B4-BE49-F238E27FC236}">
              <a16:creationId xmlns:a16="http://schemas.microsoft.com/office/drawing/2014/main" id="{7DAC9129-D304-48D1-91F4-BE2B52CD6871}"/>
            </a:ext>
          </a:extLst>
        </xdr:cNvPr>
        <xdr:cNvSpPr txBox="1"/>
      </xdr:nvSpPr>
      <xdr:spPr>
        <a:xfrm>
          <a:off x="7834864" y="1479547"/>
          <a:ext cx="1780093" cy="265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Country</a:t>
          </a:r>
          <a:r>
            <a:rPr lang="en-GB" sz="1100" b="1" baseline="0">
              <a:solidFill>
                <a:schemeClr val="bg1"/>
              </a:solidFill>
            </a:rPr>
            <a:t> Sales Performance</a:t>
          </a:r>
          <a:endParaRPr lang="en-GB" sz="1100" b="1">
            <a:solidFill>
              <a:schemeClr val="bg1"/>
            </a:solidFill>
          </a:endParaRPr>
        </a:p>
      </xdr:txBody>
    </xdr:sp>
    <xdr:clientData/>
  </xdr:twoCellAnchor>
  <xdr:twoCellAnchor>
    <xdr:from>
      <xdr:col>4</xdr:col>
      <xdr:colOff>57149</xdr:colOff>
      <xdr:row>17</xdr:row>
      <xdr:rowOff>152405</xdr:rowOff>
    </xdr:from>
    <xdr:to>
      <xdr:col>6</xdr:col>
      <xdr:colOff>189443</xdr:colOff>
      <xdr:row>19</xdr:row>
      <xdr:rowOff>46574</xdr:rowOff>
    </xdr:to>
    <xdr:sp macro="" textlink="">
      <xdr:nvSpPr>
        <xdr:cNvPr id="42" name="TextBox 41">
          <a:extLst>
            <a:ext uri="{FF2B5EF4-FFF2-40B4-BE49-F238E27FC236}">
              <a16:creationId xmlns:a16="http://schemas.microsoft.com/office/drawing/2014/main" id="{77254198-BC35-4124-BEF8-83207E11008A}"/>
            </a:ext>
          </a:extLst>
        </xdr:cNvPr>
        <xdr:cNvSpPr txBox="1"/>
      </xdr:nvSpPr>
      <xdr:spPr>
        <a:xfrm>
          <a:off x="2491316" y="3300947"/>
          <a:ext cx="1349377" cy="264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Yearly</a:t>
          </a:r>
          <a:r>
            <a:rPr lang="en-GB" sz="1100" b="1" baseline="0">
              <a:solidFill>
                <a:schemeClr val="bg1"/>
              </a:solidFill>
            </a:rPr>
            <a:t> </a:t>
          </a:r>
          <a:r>
            <a:rPr lang="en-GB" sz="1100" b="1">
              <a:solidFill>
                <a:schemeClr val="bg1"/>
              </a:solidFill>
            </a:rPr>
            <a:t>Sales Trend</a:t>
          </a:r>
        </a:p>
      </xdr:txBody>
    </xdr:sp>
    <xdr:clientData/>
  </xdr:twoCellAnchor>
  <xdr:twoCellAnchor>
    <xdr:from>
      <xdr:col>8</xdr:col>
      <xdr:colOff>468849</xdr:colOff>
      <xdr:row>17</xdr:row>
      <xdr:rowOff>151345</xdr:rowOff>
    </xdr:from>
    <xdr:to>
      <xdr:col>10</xdr:col>
      <xdr:colOff>601142</xdr:colOff>
      <xdr:row>19</xdr:row>
      <xdr:rowOff>45514</xdr:rowOff>
    </xdr:to>
    <xdr:sp macro="" textlink="">
      <xdr:nvSpPr>
        <xdr:cNvPr id="43" name="TextBox 42">
          <a:extLst>
            <a:ext uri="{FF2B5EF4-FFF2-40B4-BE49-F238E27FC236}">
              <a16:creationId xmlns:a16="http://schemas.microsoft.com/office/drawing/2014/main" id="{078B4747-A50F-4085-9088-7EA82C1E90FA}"/>
            </a:ext>
          </a:extLst>
        </xdr:cNvPr>
        <xdr:cNvSpPr txBox="1"/>
      </xdr:nvSpPr>
      <xdr:spPr>
        <a:xfrm>
          <a:off x="5337182" y="3299887"/>
          <a:ext cx="1349377" cy="264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Products</a:t>
          </a:r>
          <a:r>
            <a:rPr lang="en-GB" sz="1100" b="1" baseline="0">
              <a:solidFill>
                <a:schemeClr val="bg1"/>
              </a:solidFill>
            </a:rPr>
            <a:t> Returned</a:t>
          </a:r>
          <a:endParaRPr lang="en-GB" sz="1100" b="1">
            <a:solidFill>
              <a:schemeClr val="bg1"/>
            </a:solidFill>
          </a:endParaRPr>
        </a:p>
      </xdr:txBody>
    </xdr:sp>
    <xdr:clientData/>
  </xdr:twoCellAnchor>
  <xdr:twoCellAnchor>
    <xdr:from>
      <xdr:col>3</xdr:col>
      <xdr:colOff>71439</xdr:colOff>
      <xdr:row>3</xdr:row>
      <xdr:rowOff>129351</xdr:rowOff>
    </xdr:from>
    <xdr:to>
      <xdr:col>16</xdr:col>
      <xdr:colOff>291041</xdr:colOff>
      <xdr:row>7</xdr:row>
      <xdr:rowOff>49389</xdr:rowOff>
    </xdr:to>
    <xdr:grpSp>
      <xdr:nvGrpSpPr>
        <xdr:cNvPr id="67" name="Group 66">
          <a:extLst>
            <a:ext uri="{FF2B5EF4-FFF2-40B4-BE49-F238E27FC236}">
              <a16:creationId xmlns:a16="http://schemas.microsoft.com/office/drawing/2014/main" id="{ED041195-BA24-4D9E-D0CF-E87703AE6512}"/>
            </a:ext>
          </a:extLst>
        </xdr:cNvPr>
        <xdr:cNvGrpSpPr/>
      </xdr:nvGrpSpPr>
      <xdr:grpSpPr>
        <a:xfrm>
          <a:off x="1898684" y="673637"/>
          <a:ext cx="8137663" cy="645752"/>
          <a:chOff x="1898684" y="673637"/>
          <a:chExt cx="8137663" cy="645752"/>
        </a:xfrm>
      </xdr:grpSpPr>
      <xdr:sp macro="" textlink="">
        <xdr:nvSpPr>
          <xdr:cNvPr id="25" name="Rectangle: Rounded Corners 24">
            <a:extLst>
              <a:ext uri="{FF2B5EF4-FFF2-40B4-BE49-F238E27FC236}">
                <a16:creationId xmlns:a16="http://schemas.microsoft.com/office/drawing/2014/main" id="{318804C5-94CD-D121-B95C-8B7E04E84162}"/>
              </a:ext>
            </a:extLst>
          </xdr:cNvPr>
          <xdr:cNvSpPr/>
        </xdr:nvSpPr>
        <xdr:spPr>
          <a:xfrm>
            <a:off x="1906620" y="673637"/>
            <a:ext cx="8129727" cy="645752"/>
          </a:xfrm>
          <a:prstGeom prst="roundRect">
            <a:avLst>
              <a:gd name="adj" fmla="val 6931"/>
            </a:avLst>
          </a:prstGeom>
          <a:gradFill>
            <a:gsLst>
              <a:gs pos="8000">
                <a:srgbClr val="101C32"/>
              </a:gs>
              <a:gs pos="65000">
                <a:srgbClr val="101C32"/>
              </a:gs>
              <a:gs pos="36000">
                <a:srgbClr val="1A2E52"/>
              </a:gs>
              <a:gs pos="92000">
                <a:srgbClr val="1A2E52"/>
              </a:gs>
            </a:gsLst>
            <a:lin ang="108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7" name="Rectangle: Rounded Corners 26">
            <a:extLst>
              <a:ext uri="{FF2B5EF4-FFF2-40B4-BE49-F238E27FC236}">
                <a16:creationId xmlns:a16="http://schemas.microsoft.com/office/drawing/2014/main" id="{A0C0B426-C62B-40CD-8622-98FB2F6A9AAF}"/>
              </a:ext>
            </a:extLst>
          </xdr:cNvPr>
          <xdr:cNvSpPr/>
        </xdr:nvSpPr>
        <xdr:spPr>
          <a:xfrm>
            <a:off x="1898684" y="675538"/>
            <a:ext cx="8137037" cy="318500"/>
          </a:xfrm>
          <a:prstGeom prst="roundRect">
            <a:avLst>
              <a:gd name="adj" fmla="val 17742"/>
            </a:avLst>
          </a:prstGeom>
          <a:gradFill>
            <a:gsLst>
              <a:gs pos="8000">
                <a:srgbClr val="101C32"/>
              </a:gs>
              <a:gs pos="65000">
                <a:srgbClr val="101C32"/>
              </a:gs>
              <a:gs pos="36000">
                <a:schemeClr val="tx1">
                  <a:lumMod val="87000"/>
                  <a:lumOff val="13000"/>
                </a:schemeClr>
              </a:gs>
              <a:gs pos="92000">
                <a:schemeClr val="tx1">
                  <a:lumMod val="87000"/>
                  <a:lumOff val="13000"/>
                </a:schemeClr>
              </a:gs>
            </a:gsLst>
            <a:lin ang="126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3</xdr:col>
      <xdr:colOff>307554</xdr:colOff>
      <xdr:row>5</xdr:row>
      <xdr:rowOff>114225</xdr:rowOff>
    </xdr:from>
    <xdr:to>
      <xdr:col>4</xdr:col>
      <xdr:colOff>555625</xdr:colOff>
      <xdr:row>7</xdr:row>
      <xdr:rowOff>9383</xdr:rowOff>
    </xdr:to>
    <xdr:sp macro="" textlink="'Pivot Table and Analysis'!AA7">
      <xdr:nvSpPr>
        <xdr:cNvPr id="30" name="TextBox 29">
          <a:extLst>
            <a:ext uri="{FF2B5EF4-FFF2-40B4-BE49-F238E27FC236}">
              <a16:creationId xmlns:a16="http://schemas.microsoft.com/office/drawing/2014/main" id="{08824069-A4B4-55A2-E33E-FF925F07789A}"/>
            </a:ext>
          </a:extLst>
        </xdr:cNvPr>
        <xdr:cNvSpPr txBox="1"/>
      </xdr:nvSpPr>
      <xdr:spPr>
        <a:xfrm>
          <a:off x="2134799" y="1021368"/>
          <a:ext cx="857153" cy="258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3878AE-ACE6-468B-B409-3AC31116CA74}" type="TxLink">
            <a:rPr lang="en-US" sz="1100" b="1" i="0" u="none" strike="noStrike">
              <a:solidFill>
                <a:schemeClr val="bg1"/>
              </a:solidFill>
              <a:latin typeface="Calibri"/>
              <a:cs typeface="Calibri"/>
            </a:rPr>
            <a:pPr/>
            <a:t>$1,748,904</a:t>
          </a:fld>
          <a:endParaRPr lang="en-GB" sz="1100" b="1">
            <a:solidFill>
              <a:schemeClr val="bg1"/>
            </a:solidFill>
          </a:endParaRPr>
        </a:p>
      </xdr:txBody>
    </xdr:sp>
    <xdr:clientData/>
  </xdr:twoCellAnchor>
  <xdr:twoCellAnchor>
    <xdr:from>
      <xdr:col>5</xdr:col>
      <xdr:colOff>229493</xdr:colOff>
      <xdr:row>5</xdr:row>
      <xdr:rowOff>116291</xdr:rowOff>
    </xdr:from>
    <xdr:to>
      <xdr:col>6</xdr:col>
      <xdr:colOff>475997</xdr:colOff>
      <xdr:row>7</xdr:row>
      <xdr:rowOff>23908</xdr:rowOff>
    </xdr:to>
    <xdr:sp macro="" textlink="'Pivot Table and Analysis'!AA12">
      <xdr:nvSpPr>
        <xdr:cNvPr id="31" name="TextBox 30">
          <a:extLst>
            <a:ext uri="{FF2B5EF4-FFF2-40B4-BE49-F238E27FC236}">
              <a16:creationId xmlns:a16="http://schemas.microsoft.com/office/drawing/2014/main" id="{D6079020-C3DA-423E-A67B-4964C29A1B2B}"/>
            </a:ext>
          </a:extLst>
        </xdr:cNvPr>
        <xdr:cNvSpPr txBox="1"/>
      </xdr:nvSpPr>
      <xdr:spPr>
        <a:xfrm>
          <a:off x="3274901" y="1023434"/>
          <a:ext cx="855586" cy="270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9C05F3-17C3-4A8C-AABA-E995593374D2}" type="TxLink">
            <a:rPr lang="en-US" sz="1100" b="1" i="0" u="none" strike="noStrike">
              <a:solidFill>
                <a:schemeClr val="bg1"/>
              </a:solidFill>
              <a:effectLst/>
              <a:latin typeface="Calibri"/>
              <a:cs typeface="Calibri"/>
            </a:rPr>
            <a:pPr/>
            <a:t>$1,711,583</a:t>
          </a:fld>
          <a:endParaRPr lang="en-US" sz="1100" b="1" i="0" u="none" strike="noStrike">
            <a:solidFill>
              <a:schemeClr val="bg1"/>
            </a:solidFill>
            <a:effectLst/>
            <a:latin typeface="Calibri"/>
            <a:cs typeface="Calibri"/>
          </a:endParaRPr>
        </a:p>
      </xdr:txBody>
    </xdr:sp>
    <xdr:clientData/>
  </xdr:twoCellAnchor>
  <xdr:twoCellAnchor>
    <xdr:from>
      <xdr:col>3</xdr:col>
      <xdr:colOff>199430</xdr:colOff>
      <xdr:row>3</xdr:row>
      <xdr:rowOff>157797</xdr:rowOff>
    </xdr:from>
    <xdr:to>
      <xdr:col>5</xdr:col>
      <xdr:colOff>23515</xdr:colOff>
      <xdr:row>5</xdr:row>
      <xdr:rowOff>23879</xdr:rowOff>
    </xdr:to>
    <xdr:sp macro="" textlink="">
      <xdr:nvSpPr>
        <xdr:cNvPr id="32" name="TextBox 31">
          <a:extLst>
            <a:ext uri="{FF2B5EF4-FFF2-40B4-BE49-F238E27FC236}">
              <a16:creationId xmlns:a16="http://schemas.microsoft.com/office/drawing/2014/main" id="{4A78659B-605A-4F26-B863-1351EC99DCBC}"/>
            </a:ext>
          </a:extLst>
        </xdr:cNvPr>
        <xdr:cNvSpPr txBox="1"/>
      </xdr:nvSpPr>
      <xdr:spPr>
        <a:xfrm>
          <a:off x="2026675" y="702083"/>
          <a:ext cx="1042248" cy="228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bg1"/>
              </a:solidFill>
              <a:effectLst/>
              <a:latin typeface="+mn-lt"/>
              <a:ea typeface="+mn-ea"/>
              <a:cs typeface="+mn-cs"/>
            </a:rPr>
            <a:t>Total Revenue</a:t>
          </a:r>
          <a:r>
            <a:rPr lang="en-GB">
              <a:solidFill>
                <a:schemeClr val="bg1"/>
              </a:solidFill>
              <a:effectLst/>
            </a:rPr>
            <a:t> </a:t>
          </a:r>
          <a:r>
            <a:rPr lang="en-GB" sz="1100">
              <a:solidFill>
                <a:schemeClr val="bg1"/>
              </a:solidFill>
              <a:effectLst/>
            </a:rPr>
            <a:t> </a:t>
          </a:r>
          <a:endParaRPr lang="en-GB" sz="1100">
            <a:solidFill>
              <a:schemeClr val="bg1"/>
            </a:solidFill>
          </a:endParaRPr>
        </a:p>
      </xdr:txBody>
    </xdr:sp>
    <xdr:clientData/>
  </xdr:twoCellAnchor>
  <xdr:twoCellAnchor>
    <xdr:from>
      <xdr:col>5</xdr:col>
      <xdr:colOff>175451</xdr:colOff>
      <xdr:row>3</xdr:row>
      <xdr:rowOff>157327</xdr:rowOff>
    </xdr:from>
    <xdr:to>
      <xdr:col>7</xdr:col>
      <xdr:colOff>1936</xdr:colOff>
      <xdr:row>5</xdr:row>
      <xdr:rowOff>23409</xdr:rowOff>
    </xdr:to>
    <xdr:sp macro="" textlink="">
      <xdr:nvSpPr>
        <xdr:cNvPr id="34" name="TextBox 33">
          <a:extLst>
            <a:ext uri="{FF2B5EF4-FFF2-40B4-BE49-F238E27FC236}">
              <a16:creationId xmlns:a16="http://schemas.microsoft.com/office/drawing/2014/main" id="{0681E59A-7F8B-48A3-92A8-395A437235A3}"/>
            </a:ext>
          </a:extLst>
        </xdr:cNvPr>
        <xdr:cNvSpPr txBox="1"/>
      </xdr:nvSpPr>
      <xdr:spPr>
        <a:xfrm>
          <a:off x="3220859" y="701613"/>
          <a:ext cx="1044648" cy="228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bg1"/>
              </a:solidFill>
              <a:effectLst/>
              <a:latin typeface="+mn-lt"/>
              <a:ea typeface="+mn-ea"/>
              <a:cs typeface="+mn-cs"/>
            </a:rPr>
            <a:t>Net</a:t>
          </a:r>
          <a:r>
            <a:rPr lang="en-GB" sz="1100" b="1" i="0" u="none" strike="noStrike" baseline="0">
              <a:solidFill>
                <a:schemeClr val="bg1"/>
              </a:solidFill>
              <a:effectLst/>
              <a:latin typeface="+mn-lt"/>
              <a:ea typeface="+mn-ea"/>
              <a:cs typeface="+mn-cs"/>
            </a:rPr>
            <a:t> Revenue</a:t>
          </a:r>
          <a:r>
            <a:rPr lang="en-GB" b="1">
              <a:solidFill>
                <a:schemeClr val="bg1"/>
              </a:solidFill>
              <a:effectLst/>
            </a:rPr>
            <a:t> </a:t>
          </a:r>
          <a:r>
            <a:rPr lang="en-GB" sz="1100" b="1">
              <a:solidFill>
                <a:schemeClr val="bg1"/>
              </a:solidFill>
              <a:effectLst/>
            </a:rPr>
            <a:t> </a:t>
          </a:r>
          <a:endParaRPr lang="en-GB" sz="1100" b="1">
            <a:solidFill>
              <a:schemeClr val="bg1"/>
            </a:solidFill>
          </a:endParaRPr>
        </a:p>
      </xdr:txBody>
    </xdr:sp>
    <xdr:clientData/>
  </xdr:twoCellAnchor>
  <xdr:twoCellAnchor>
    <xdr:from>
      <xdr:col>7</xdr:col>
      <xdr:colOff>75031</xdr:colOff>
      <xdr:row>3</xdr:row>
      <xdr:rowOff>149773</xdr:rowOff>
    </xdr:from>
    <xdr:to>
      <xdr:col>9</xdr:col>
      <xdr:colOff>146991</xdr:colOff>
      <xdr:row>5</xdr:row>
      <xdr:rowOff>22681</xdr:rowOff>
    </xdr:to>
    <xdr:sp macro="" textlink="">
      <xdr:nvSpPr>
        <xdr:cNvPr id="37" name="TextBox 36">
          <a:extLst>
            <a:ext uri="{FF2B5EF4-FFF2-40B4-BE49-F238E27FC236}">
              <a16:creationId xmlns:a16="http://schemas.microsoft.com/office/drawing/2014/main" id="{70D0E765-9365-45CE-9B35-DDF6E9C4C329}"/>
            </a:ext>
          </a:extLst>
        </xdr:cNvPr>
        <xdr:cNvSpPr txBox="1"/>
      </xdr:nvSpPr>
      <xdr:spPr>
        <a:xfrm>
          <a:off x="4338602" y="694059"/>
          <a:ext cx="1290124" cy="235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bg1"/>
              </a:solidFill>
              <a:effectLst/>
              <a:latin typeface="+mn-lt"/>
              <a:ea typeface="+mn-ea"/>
              <a:cs typeface="+mn-cs"/>
            </a:rPr>
            <a:t>Total</a:t>
          </a:r>
          <a:r>
            <a:rPr lang="en-GB" sz="1100" b="1" i="0" u="none" strike="noStrike" baseline="0">
              <a:solidFill>
                <a:schemeClr val="bg1"/>
              </a:solidFill>
              <a:effectLst/>
              <a:latin typeface="+mn-lt"/>
              <a:ea typeface="+mn-ea"/>
              <a:cs typeface="+mn-cs"/>
            </a:rPr>
            <a:t> Return Value</a:t>
          </a:r>
          <a:r>
            <a:rPr lang="en-GB" b="1">
              <a:solidFill>
                <a:schemeClr val="bg1"/>
              </a:solidFill>
              <a:effectLst/>
            </a:rPr>
            <a:t> </a:t>
          </a:r>
          <a:r>
            <a:rPr lang="en-GB" sz="1100" b="1">
              <a:solidFill>
                <a:schemeClr val="bg1"/>
              </a:solidFill>
              <a:effectLst/>
            </a:rPr>
            <a:t> </a:t>
          </a:r>
          <a:endParaRPr lang="en-GB" sz="1100" b="1">
            <a:solidFill>
              <a:schemeClr val="bg1"/>
            </a:solidFill>
          </a:endParaRPr>
        </a:p>
      </xdr:txBody>
    </xdr:sp>
    <xdr:clientData/>
  </xdr:twoCellAnchor>
  <xdr:twoCellAnchor>
    <xdr:from>
      <xdr:col>9</xdr:col>
      <xdr:colOff>250942</xdr:colOff>
      <xdr:row>3</xdr:row>
      <xdr:rowOff>142219</xdr:rowOff>
    </xdr:from>
    <xdr:to>
      <xdr:col>11</xdr:col>
      <xdr:colOff>170962</xdr:colOff>
      <xdr:row>5</xdr:row>
      <xdr:rowOff>28039</xdr:rowOff>
    </xdr:to>
    <xdr:sp macro="" textlink="">
      <xdr:nvSpPr>
        <xdr:cNvPr id="38" name="TextBox 37">
          <a:extLst>
            <a:ext uri="{FF2B5EF4-FFF2-40B4-BE49-F238E27FC236}">
              <a16:creationId xmlns:a16="http://schemas.microsoft.com/office/drawing/2014/main" id="{131521DC-CA60-4C9F-B80F-FDE8E1C8FB95}"/>
            </a:ext>
          </a:extLst>
        </xdr:cNvPr>
        <xdr:cNvSpPr txBox="1"/>
      </xdr:nvSpPr>
      <xdr:spPr>
        <a:xfrm>
          <a:off x="5732677" y="686505"/>
          <a:ext cx="1138183" cy="248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bg1"/>
              </a:solidFill>
              <a:effectLst/>
              <a:latin typeface="+mn-lt"/>
              <a:ea typeface="+mn-ea"/>
              <a:cs typeface="+mn-cs"/>
            </a:rPr>
            <a:t>Total</a:t>
          </a:r>
          <a:r>
            <a:rPr lang="en-GB" sz="1100" b="1" i="0" u="none" strike="noStrike" baseline="0">
              <a:solidFill>
                <a:schemeClr val="bg1"/>
              </a:solidFill>
              <a:effectLst/>
              <a:latin typeface="+mn-lt"/>
              <a:ea typeface="+mn-ea"/>
              <a:cs typeface="+mn-cs"/>
            </a:rPr>
            <a:t> Units Sold</a:t>
          </a:r>
          <a:endParaRPr lang="en-GB" sz="1100" b="1">
            <a:solidFill>
              <a:schemeClr val="bg1"/>
            </a:solidFill>
          </a:endParaRPr>
        </a:p>
      </xdr:txBody>
    </xdr:sp>
    <xdr:clientData/>
  </xdr:twoCellAnchor>
  <xdr:twoCellAnchor>
    <xdr:from>
      <xdr:col>11</xdr:col>
      <xdr:colOff>274656</xdr:colOff>
      <xdr:row>3</xdr:row>
      <xdr:rowOff>141149</xdr:rowOff>
    </xdr:from>
    <xdr:to>
      <xdr:col>13</xdr:col>
      <xdr:colOff>549513</xdr:colOff>
      <xdr:row>5</xdr:row>
      <xdr:rowOff>9347</xdr:rowOff>
    </xdr:to>
    <xdr:sp macro="" textlink="">
      <xdr:nvSpPr>
        <xdr:cNvPr id="46" name="TextBox 45">
          <a:extLst>
            <a:ext uri="{FF2B5EF4-FFF2-40B4-BE49-F238E27FC236}">
              <a16:creationId xmlns:a16="http://schemas.microsoft.com/office/drawing/2014/main" id="{606BB941-A124-4657-9AE3-D27FA5D52650}"/>
            </a:ext>
          </a:extLst>
        </xdr:cNvPr>
        <xdr:cNvSpPr txBox="1"/>
      </xdr:nvSpPr>
      <xdr:spPr>
        <a:xfrm>
          <a:off x="6974554" y="685435"/>
          <a:ext cx="1493020" cy="23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bg1"/>
              </a:solidFill>
              <a:effectLst/>
              <a:latin typeface="+mn-lt"/>
              <a:ea typeface="+mn-ea"/>
              <a:cs typeface="+mn-cs"/>
            </a:rPr>
            <a:t>Average</a:t>
          </a:r>
          <a:r>
            <a:rPr lang="en-GB" sz="1100" b="1" i="0" u="none" strike="noStrike" baseline="0">
              <a:solidFill>
                <a:schemeClr val="bg1"/>
              </a:solidFill>
              <a:effectLst/>
              <a:latin typeface="+mn-lt"/>
              <a:ea typeface="+mn-ea"/>
              <a:cs typeface="+mn-cs"/>
            </a:rPr>
            <a:t> Product Price</a:t>
          </a:r>
          <a:r>
            <a:rPr lang="en-GB" b="1">
              <a:solidFill>
                <a:schemeClr val="bg1"/>
              </a:solidFill>
              <a:effectLst/>
            </a:rPr>
            <a:t> </a:t>
          </a:r>
          <a:r>
            <a:rPr lang="en-GB" sz="1100" b="1">
              <a:solidFill>
                <a:schemeClr val="bg1"/>
              </a:solidFill>
              <a:effectLst/>
            </a:rPr>
            <a:t> </a:t>
          </a:r>
          <a:endParaRPr lang="en-GB" sz="1100" b="1">
            <a:solidFill>
              <a:schemeClr val="bg1"/>
            </a:solidFill>
          </a:endParaRPr>
        </a:p>
      </xdr:txBody>
    </xdr:sp>
    <xdr:clientData/>
  </xdr:twoCellAnchor>
  <xdr:twoCellAnchor>
    <xdr:from>
      <xdr:col>14</xdr:col>
      <xdr:colOff>50088</xdr:colOff>
      <xdr:row>3</xdr:row>
      <xdr:rowOff>147155</xdr:rowOff>
    </xdr:from>
    <xdr:to>
      <xdr:col>16</xdr:col>
      <xdr:colOff>195384</xdr:colOff>
      <xdr:row>5</xdr:row>
      <xdr:rowOff>21933</xdr:rowOff>
    </xdr:to>
    <xdr:sp macro="" textlink="">
      <xdr:nvSpPr>
        <xdr:cNvPr id="47" name="TextBox 46">
          <a:extLst>
            <a:ext uri="{FF2B5EF4-FFF2-40B4-BE49-F238E27FC236}">
              <a16:creationId xmlns:a16="http://schemas.microsoft.com/office/drawing/2014/main" id="{668DF8B7-9D60-4ABE-9C6B-522B09CFB466}"/>
            </a:ext>
          </a:extLst>
        </xdr:cNvPr>
        <xdr:cNvSpPr txBox="1"/>
      </xdr:nvSpPr>
      <xdr:spPr>
        <a:xfrm>
          <a:off x="8577231" y="691441"/>
          <a:ext cx="1363459" cy="237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bg1"/>
              </a:solidFill>
              <a:effectLst/>
              <a:latin typeface="+mn-lt"/>
              <a:ea typeface="+mn-ea"/>
              <a:cs typeface="+mn-cs"/>
            </a:rPr>
            <a:t>Number</a:t>
          </a:r>
          <a:r>
            <a:rPr lang="en-GB" sz="1100" b="1" i="0" u="none" strike="noStrike" baseline="0">
              <a:solidFill>
                <a:schemeClr val="bg1"/>
              </a:solidFill>
              <a:effectLst/>
              <a:latin typeface="+mn-lt"/>
              <a:ea typeface="+mn-ea"/>
              <a:cs typeface="+mn-cs"/>
            </a:rPr>
            <a:t> of Products Sold</a:t>
          </a:r>
          <a:endParaRPr lang="en-GB" sz="1100" b="1">
            <a:solidFill>
              <a:schemeClr val="bg1"/>
            </a:solidFill>
          </a:endParaRPr>
        </a:p>
      </xdr:txBody>
    </xdr:sp>
    <xdr:clientData/>
  </xdr:twoCellAnchor>
  <xdr:twoCellAnchor>
    <xdr:from>
      <xdr:col>7</xdr:col>
      <xdr:colOff>322147</xdr:colOff>
      <xdr:row>5</xdr:row>
      <xdr:rowOff>112099</xdr:rowOff>
    </xdr:from>
    <xdr:to>
      <xdr:col>8</xdr:col>
      <xdr:colOff>448362</xdr:colOff>
      <xdr:row>6</xdr:row>
      <xdr:rowOff>181115</xdr:rowOff>
    </xdr:to>
    <xdr:sp macro="" textlink="'Pivot Table and Analysis'!AA21">
      <xdr:nvSpPr>
        <xdr:cNvPr id="49" name="TextBox 48">
          <a:extLst>
            <a:ext uri="{FF2B5EF4-FFF2-40B4-BE49-F238E27FC236}">
              <a16:creationId xmlns:a16="http://schemas.microsoft.com/office/drawing/2014/main" id="{AB1E44BF-D8E8-4659-85A2-1B92A1A5B2E6}"/>
            </a:ext>
          </a:extLst>
        </xdr:cNvPr>
        <xdr:cNvSpPr txBox="1"/>
      </xdr:nvSpPr>
      <xdr:spPr>
        <a:xfrm>
          <a:off x="4585718" y="1019242"/>
          <a:ext cx="735297" cy="250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3A8148-83A5-46F0-A83F-78E835A7995A}" type="TxLink">
            <a:rPr lang="en-US" sz="1100" b="1" i="0" u="none" strike="noStrike">
              <a:solidFill>
                <a:schemeClr val="bg1"/>
              </a:solidFill>
              <a:latin typeface="Calibri"/>
              <a:cs typeface="Calibri"/>
            </a:rPr>
            <a:pPr/>
            <a:t>-$37,321</a:t>
          </a:fld>
          <a:endParaRPr lang="en-GB" sz="1100" b="1">
            <a:solidFill>
              <a:schemeClr val="bg1"/>
            </a:solidFill>
          </a:endParaRPr>
        </a:p>
      </xdr:txBody>
    </xdr:sp>
    <xdr:clientData/>
  </xdr:twoCellAnchor>
  <xdr:twoCellAnchor>
    <xdr:from>
      <xdr:col>9</xdr:col>
      <xdr:colOff>556816</xdr:colOff>
      <xdr:row>5</xdr:row>
      <xdr:rowOff>124641</xdr:rowOff>
    </xdr:from>
    <xdr:to>
      <xdr:col>10</xdr:col>
      <xdr:colOff>492449</xdr:colOff>
      <xdr:row>7</xdr:row>
      <xdr:rowOff>25917</xdr:rowOff>
    </xdr:to>
    <xdr:sp macro="" textlink="'Pivot Table and Analysis'!AA26">
      <xdr:nvSpPr>
        <xdr:cNvPr id="50" name="TextBox 49">
          <a:extLst>
            <a:ext uri="{FF2B5EF4-FFF2-40B4-BE49-F238E27FC236}">
              <a16:creationId xmlns:a16="http://schemas.microsoft.com/office/drawing/2014/main" id="{71AC7469-9CA9-4345-B2D4-C2698959B4B6}"/>
            </a:ext>
          </a:extLst>
        </xdr:cNvPr>
        <xdr:cNvSpPr txBox="1"/>
      </xdr:nvSpPr>
      <xdr:spPr>
        <a:xfrm>
          <a:off x="6038551" y="1031784"/>
          <a:ext cx="544714" cy="264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86AAF5-EC24-4034-AB62-3DFF63D54F10}" type="TxLink">
            <a:rPr lang="en-US" sz="1100" b="1" i="0" u="none" strike="noStrike">
              <a:solidFill>
                <a:schemeClr val="bg1"/>
              </a:solidFill>
              <a:effectLst/>
              <a:latin typeface="Calibri"/>
              <a:cs typeface="Calibri"/>
            </a:rPr>
            <a:pPr/>
            <a:t>4,491</a:t>
          </a:fld>
          <a:endParaRPr lang="en-GB" sz="1100" b="1">
            <a:solidFill>
              <a:schemeClr val="bg1"/>
            </a:solidFill>
          </a:endParaRPr>
        </a:p>
      </xdr:txBody>
    </xdr:sp>
    <xdr:clientData/>
  </xdr:twoCellAnchor>
  <xdr:twoCellAnchor>
    <xdr:from>
      <xdr:col>12</xdr:col>
      <xdr:colOff>123644</xdr:colOff>
      <xdr:row>5</xdr:row>
      <xdr:rowOff>111605</xdr:rowOff>
    </xdr:from>
    <xdr:to>
      <xdr:col>13</xdr:col>
      <xdr:colOff>36638</xdr:colOff>
      <xdr:row>7</xdr:row>
      <xdr:rowOff>63</xdr:rowOff>
    </xdr:to>
    <xdr:sp macro="" textlink="'Pivot Table and Analysis'!AA31">
      <xdr:nvSpPr>
        <xdr:cNvPr id="51" name="TextBox 50">
          <a:extLst>
            <a:ext uri="{FF2B5EF4-FFF2-40B4-BE49-F238E27FC236}">
              <a16:creationId xmlns:a16="http://schemas.microsoft.com/office/drawing/2014/main" id="{3B713935-983C-4BC2-B713-546422F1D631}"/>
            </a:ext>
          </a:extLst>
        </xdr:cNvPr>
        <xdr:cNvSpPr txBox="1"/>
      </xdr:nvSpPr>
      <xdr:spPr>
        <a:xfrm>
          <a:off x="7432624" y="1018748"/>
          <a:ext cx="522075" cy="251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D02F39-920E-43A9-B4DF-A3CC4A16A5ED}" type="TxLink">
            <a:rPr lang="en-US" sz="1100" b="1" i="0" u="none" strike="noStrike">
              <a:solidFill>
                <a:schemeClr val="bg1"/>
              </a:solidFill>
              <a:effectLst/>
              <a:latin typeface="Calibri"/>
              <a:cs typeface="Calibri"/>
            </a:rPr>
            <a:pPr/>
            <a:t>$425</a:t>
          </a:fld>
          <a:endParaRPr lang="en-GB" sz="1100" b="1">
            <a:solidFill>
              <a:schemeClr val="bg1"/>
            </a:solidFill>
          </a:endParaRPr>
        </a:p>
      </xdr:txBody>
    </xdr:sp>
    <xdr:clientData/>
  </xdr:twoCellAnchor>
  <xdr:twoCellAnchor>
    <xdr:from>
      <xdr:col>14</xdr:col>
      <xdr:colOff>495862</xdr:colOff>
      <xdr:row>5</xdr:row>
      <xdr:rowOff>124146</xdr:rowOff>
    </xdr:from>
    <xdr:to>
      <xdr:col>15</xdr:col>
      <xdr:colOff>341929</xdr:colOff>
      <xdr:row>7</xdr:row>
      <xdr:rowOff>25065</xdr:rowOff>
    </xdr:to>
    <xdr:sp macro="" textlink="'Pivot Table and Analysis'!AA16">
      <xdr:nvSpPr>
        <xdr:cNvPr id="52" name="TextBox 51">
          <a:extLst>
            <a:ext uri="{FF2B5EF4-FFF2-40B4-BE49-F238E27FC236}">
              <a16:creationId xmlns:a16="http://schemas.microsoft.com/office/drawing/2014/main" id="{B8BBF6CD-2204-4DF9-A605-4305BE72D1B6}"/>
            </a:ext>
          </a:extLst>
        </xdr:cNvPr>
        <xdr:cNvSpPr txBox="1"/>
      </xdr:nvSpPr>
      <xdr:spPr>
        <a:xfrm>
          <a:off x="9023005" y="1031289"/>
          <a:ext cx="455148" cy="26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569F88-FABD-473D-AE7C-8BBF3DAA2396}" type="TxLink">
            <a:rPr lang="en-US" sz="1100" b="1" i="0" u="none" strike="noStrike">
              <a:solidFill>
                <a:schemeClr val="bg1"/>
              </a:solidFill>
              <a:latin typeface="Calibri"/>
              <a:cs typeface="Calibri"/>
            </a:rPr>
            <a:pPr/>
            <a:t>183</a:t>
          </a:fld>
          <a:endParaRPr lang="en-GB" sz="1100" b="1">
            <a:solidFill>
              <a:schemeClr val="bg1"/>
            </a:solidFill>
          </a:endParaRPr>
        </a:p>
      </xdr:txBody>
    </xdr:sp>
    <xdr:clientData/>
  </xdr:twoCellAnchor>
  <xdr:twoCellAnchor>
    <xdr:from>
      <xdr:col>13</xdr:col>
      <xdr:colOff>116765</xdr:colOff>
      <xdr:row>17</xdr:row>
      <xdr:rowOff>149309</xdr:rowOff>
    </xdr:from>
    <xdr:to>
      <xdr:col>15</xdr:col>
      <xdr:colOff>249058</xdr:colOff>
      <xdr:row>19</xdr:row>
      <xdr:rowOff>43478</xdr:rowOff>
    </xdr:to>
    <xdr:sp macro="" textlink="">
      <xdr:nvSpPr>
        <xdr:cNvPr id="62" name="TextBox 61">
          <a:extLst>
            <a:ext uri="{FF2B5EF4-FFF2-40B4-BE49-F238E27FC236}">
              <a16:creationId xmlns:a16="http://schemas.microsoft.com/office/drawing/2014/main" id="{CF47422C-000E-47E5-BF9E-B8B3B1C78B44}"/>
            </a:ext>
          </a:extLst>
        </xdr:cNvPr>
        <xdr:cNvSpPr txBox="1"/>
      </xdr:nvSpPr>
      <xdr:spPr>
        <a:xfrm>
          <a:off x="8054265" y="3263251"/>
          <a:ext cx="1353447" cy="260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Products</a:t>
          </a:r>
          <a:r>
            <a:rPr lang="en-GB" sz="1100" b="1" baseline="0">
              <a:solidFill>
                <a:schemeClr val="bg1"/>
              </a:solidFill>
            </a:rPr>
            <a:t> Class Sales</a:t>
          </a:r>
          <a:endParaRPr lang="en-GB" sz="1100" b="1">
            <a:solidFill>
              <a:schemeClr val="bg1"/>
            </a:solidFill>
          </a:endParaRPr>
        </a:p>
      </xdr:txBody>
    </xdr:sp>
    <xdr:clientData/>
  </xdr:twoCellAnchor>
  <xdr:twoCellAnchor>
    <xdr:from>
      <xdr:col>3</xdr:col>
      <xdr:colOff>574847</xdr:colOff>
      <xdr:row>1</xdr:row>
      <xdr:rowOff>100264</xdr:rowOff>
    </xdr:from>
    <xdr:to>
      <xdr:col>15</xdr:col>
      <xdr:colOff>260689</xdr:colOff>
      <xdr:row>3</xdr:row>
      <xdr:rowOff>100264</xdr:rowOff>
    </xdr:to>
    <xdr:sp macro="" textlink="">
      <xdr:nvSpPr>
        <xdr:cNvPr id="66" name="TextBox 65">
          <a:extLst>
            <a:ext uri="{FF2B5EF4-FFF2-40B4-BE49-F238E27FC236}">
              <a16:creationId xmlns:a16="http://schemas.microsoft.com/office/drawing/2014/main" id="{B348C7F4-6D4E-B6B3-F01A-2FF6289DB85F}"/>
            </a:ext>
          </a:extLst>
        </xdr:cNvPr>
        <xdr:cNvSpPr txBox="1"/>
      </xdr:nvSpPr>
      <xdr:spPr>
        <a:xfrm>
          <a:off x="2399636" y="287422"/>
          <a:ext cx="6985000" cy="374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bg1"/>
              </a:solidFill>
            </a:rPr>
            <a:t>PHARMACEUTICALS</a:t>
          </a:r>
          <a:r>
            <a:rPr lang="en-GB" sz="1800" b="1" baseline="0">
              <a:solidFill>
                <a:schemeClr val="bg1"/>
              </a:solidFill>
            </a:rPr>
            <a:t> SALES AND PERFORMANCE ANALYSIS DASHBOARD</a:t>
          </a:r>
          <a:endParaRPr lang="en-GB" sz="1800" b="1">
            <a:solidFill>
              <a:schemeClr val="bg1"/>
            </a:solidFill>
          </a:endParaRPr>
        </a:p>
      </xdr:txBody>
    </xdr:sp>
    <xdr:clientData/>
  </xdr:twoCellAnchor>
  <xdr:twoCellAnchor>
    <xdr:from>
      <xdr:col>0</xdr:col>
      <xdr:colOff>442109</xdr:colOff>
      <xdr:row>1</xdr:row>
      <xdr:rowOff>58317</xdr:rowOff>
    </xdr:from>
    <xdr:to>
      <xdr:col>2</xdr:col>
      <xdr:colOff>473019</xdr:colOff>
      <xdr:row>5</xdr:row>
      <xdr:rowOff>25920</xdr:rowOff>
    </xdr:to>
    <xdr:grpSp>
      <xdr:nvGrpSpPr>
        <xdr:cNvPr id="84" name="Group 83">
          <a:extLst>
            <a:ext uri="{FF2B5EF4-FFF2-40B4-BE49-F238E27FC236}">
              <a16:creationId xmlns:a16="http://schemas.microsoft.com/office/drawing/2014/main" id="{312447B2-5B22-F892-E330-999B45600DBC}"/>
            </a:ext>
          </a:extLst>
        </xdr:cNvPr>
        <xdr:cNvGrpSpPr/>
      </xdr:nvGrpSpPr>
      <xdr:grpSpPr>
        <a:xfrm>
          <a:off x="442109" y="239746"/>
          <a:ext cx="1249073" cy="693317"/>
          <a:chOff x="357870" y="259185"/>
          <a:chExt cx="1138916" cy="560155"/>
        </a:xfrm>
      </xdr:grpSpPr>
      <xdr:sp macro="" textlink="">
        <xdr:nvSpPr>
          <xdr:cNvPr id="79" name="TextBox 78">
            <a:extLst>
              <a:ext uri="{FF2B5EF4-FFF2-40B4-BE49-F238E27FC236}">
                <a16:creationId xmlns:a16="http://schemas.microsoft.com/office/drawing/2014/main" id="{06D37E3D-C46D-68EE-C7C1-9E3AB57B2ADA}"/>
              </a:ext>
            </a:extLst>
          </xdr:cNvPr>
          <xdr:cNvSpPr txBox="1"/>
        </xdr:nvSpPr>
        <xdr:spPr>
          <a:xfrm>
            <a:off x="357870" y="259185"/>
            <a:ext cx="1138916" cy="524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GB" sz="2800" b="1">
                <a:solidFill>
                  <a:schemeClr val="bg1"/>
                </a:solidFill>
              </a:rPr>
              <a:t>BRAIN</a:t>
            </a:r>
            <a:endParaRPr lang="en-GB" sz="1600" b="1">
              <a:solidFill>
                <a:schemeClr val="bg1"/>
              </a:solidFill>
            </a:endParaRPr>
          </a:p>
        </xdr:txBody>
      </xdr:sp>
      <xdr:sp macro="" textlink="">
        <xdr:nvSpPr>
          <xdr:cNvPr id="80" name="TextBox 79">
            <a:extLst>
              <a:ext uri="{FF2B5EF4-FFF2-40B4-BE49-F238E27FC236}">
                <a16:creationId xmlns:a16="http://schemas.microsoft.com/office/drawing/2014/main" id="{42E83976-D268-C92B-601C-F6C66F758662}"/>
              </a:ext>
            </a:extLst>
          </xdr:cNvPr>
          <xdr:cNvSpPr txBox="1"/>
        </xdr:nvSpPr>
        <xdr:spPr>
          <a:xfrm>
            <a:off x="370703" y="553676"/>
            <a:ext cx="991377" cy="265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bg1"/>
                </a:solidFill>
              </a:rPr>
              <a:t>Pharmacy</a:t>
            </a:r>
            <a:endParaRPr lang="en-GB" sz="1100" b="1">
              <a:solidFill>
                <a:schemeClr val="bg1"/>
              </a:solidFill>
            </a:endParaRPr>
          </a:p>
        </xdr:txBody>
      </xdr:sp>
    </xdr:grpSp>
    <xdr:clientData/>
  </xdr:twoCellAnchor>
  <xdr:twoCellAnchor editAs="oneCell">
    <xdr:from>
      <xdr:col>0</xdr:col>
      <xdr:colOff>399210</xdr:colOff>
      <xdr:row>12</xdr:row>
      <xdr:rowOff>36697</xdr:rowOff>
    </xdr:from>
    <xdr:to>
      <xdr:col>2</xdr:col>
      <xdr:colOff>557245</xdr:colOff>
      <xdr:row>16</xdr:row>
      <xdr:rowOff>133943</xdr:rowOff>
    </xdr:to>
    <mc:AlternateContent xmlns:mc="http://schemas.openxmlformats.org/markup-compatibility/2006" xmlns:a14="http://schemas.microsoft.com/office/drawing/2010/main">
      <mc:Choice Requires="a14">
        <xdr:graphicFrame macro="">
          <xdr:nvGraphicFramePr>
            <xdr:cNvPr id="26" name="Channel 2">
              <a:extLst>
                <a:ext uri="{FF2B5EF4-FFF2-40B4-BE49-F238E27FC236}">
                  <a16:creationId xmlns:a16="http://schemas.microsoft.com/office/drawing/2014/main" id="{D7205BAD-64C7-4021-BA9D-AEE8DA609982}"/>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399210" y="2213840"/>
              <a:ext cx="1376198" cy="822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396100</xdr:colOff>
      <xdr:row>8</xdr:row>
      <xdr:rowOff>176145</xdr:rowOff>
    </xdr:from>
    <xdr:to>
      <xdr:col>2</xdr:col>
      <xdr:colOff>544286</xdr:colOff>
      <xdr:row>12</xdr:row>
      <xdr:rowOff>12958</xdr:rowOff>
    </xdr:to>
    <mc:AlternateContent xmlns:mc="http://schemas.openxmlformats.org/markup-compatibility/2006" xmlns:a14="http://schemas.microsoft.com/office/drawing/2010/main">
      <mc:Choice Requires="a14">
        <xdr:graphicFrame macro="">
          <xdr:nvGraphicFramePr>
            <xdr:cNvPr id="28" name="Country 2">
              <a:extLst>
                <a:ext uri="{FF2B5EF4-FFF2-40B4-BE49-F238E27FC236}">
                  <a16:creationId xmlns:a16="http://schemas.microsoft.com/office/drawing/2014/main" id="{E6DA553C-005B-4F81-BE93-FFB4A3290374}"/>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396100" y="1627574"/>
              <a:ext cx="1366349" cy="5625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399469</xdr:colOff>
      <xdr:row>16</xdr:row>
      <xdr:rowOff>161982</xdr:rowOff>
    </xdr:from>
    <xdr:to>
      <xdr:col>2</xdr:col>
      <xdr:colOff>544286</xdr:colOff>
      <xdr:row>26</xdr:row>
      <xdr:rowOff>149030</xdr:rowOff>
    </xdr:to>
    <mc:AlternateContent xmlns:mc="http://schemas.openxmlformats.org/markup-compatibility/2006" xmlns:a14="http://schemas.microsoft.com/office/drawing/2010/main">
      <mc:Choice Requires="a14">
        <xdr:graphicFrame macro="">
          <xdr:nvGraphicFramePr>
            <xdr:cNvPr id="48" name="Product Class 2">
              <a:extLst>
                <a:ext uri="{FF2B5EF4-FFF2-40B4-BE49-F238E27FC236}">
                  <a16:creationId xmlns:a16="http://schemas.microsoft.com/office/drawing/2014/main" id="{B470A43E-9D3B-4A1C-A337-8A0347E8A224}"/>
                </a:ext>
              </a:extLst>
            </xdr:cNvPr>
            <xdr:cNvGraphicFramePr/>
          </xdr:nvGraphicFramePr>
          <xdr:xfrm>
            <a:off x="0" y="0"/>
            <a:ext cx="0" cy="0"/>
          </xdr:xfrm>
          <a:graphic>
            <a:graphicData uri="http://schemas.microsoft.com/office/drawing/2010/slicer">
              <sle:slicer xmlns:sle="http://schemas.microsoft.com/office/drawing/2010/slicer" name="Product Class 2"/>
            </a:graphicData>
          </a:graphic>
        </xdr:graphicFrame>
      </mc:Choice>
      <mc:Fallback xmlns="">
        <xdr:sp macro="" textlink="">
          <xdr:nvSpPr>
            <xdr:cNvPr id="0" name=""/>
            <xdr:cNvSpPr>
              <a:spLocks noTextEdit="1"/>
            </xdr:cNvSpPr>
          </xdr:nvSpPr>
          <xdr:spPr>
            <a:xfrm>
              <a:off x="399469" y="3064839"/>
              <a:ext cx="1362980" cy="18013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389881</xdr:colOff>
      <xdr:row>5</xdr:row>
      <xdr:rowOff>131051</xdr:rowOff>
    </xdr:from>
    <xdr:to>
      <xdr:col>2</xdr:col>
      <xdr:colOff>557247</xdr:colOff>
      <xdr:row>8</xdr:row>
      <xdr:rowOff>149029</xdr:rowOff>
    </xdr:to>
    <mc:AlternateContent xmlns:mc="http://schemas.openxmlformats.org/markup-compatibility/2006" xmlns:a14="http://schemas.microsoft.com/office/drawing/2010/main">
      <mc:Choice Requires="a14">
        <xdr:graphicFrame macro="">
          <xdr:nvGraphicFramePr>
            <xdr:cNvPr id="54" name="Year 2">
              <a:extLst>
                <a:ext uri="{FF2B5EF4-FFF2-40B4-BE49-F238E27FC236}">
                  <a16:creationId xmlns:a16="http://schemas.microsoft.com/office/drawing/2014/main" id="{A2640E11-1B31-461B-90F5-90C8843BF16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389881" y="1038194"/>
              <a:ext cx="1385529" cy="5622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142662</xdr:colOff>
      <xdr:row>9</xdr:row>
      <xdr:rowOff>123111</xdr:rowOff>
    </xdr:from>
    <xdr:to>
      <xdr:col>7</xdr:col>
      <xdr:colOff>207347</xdr:colOff>
      <xdr:row>16</xdr:row>
      <xdr:rowOff>168470</xdr:rowOff>
    </xdr:to>
    <xdr:graphicFrame macro="">
      <xdr:nvGraphicFramePr>
        <xdr:cNvPr id="56" name="Chart 55">
          <a:extLst>
            <a:ext uri="{FF2B5EF4-FFF2-40B4-BE49-F238E27FC236}">
              <a16:creationId xmlns:a16="http://schemas.microsoft.com/office/drawing/2014/main" id="{B5829547-7080-4170-A8F9-7F0472A31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379558</xdr:colOff>
      <xdr:row>9</xdr:row>
      <xdr:rowOff>161989</xdr:rowOff>
    </xdr:from>
    <xdr:to>
      <xdr:col>11</xdr:col>
      <xdr:colOff>544287</xdr:colOff>
      <xdr:row>16</xdr:row>
      <xdr:rowOff>161990</xdr:rowOff>
    </xdr:to>
    <xdr:graphicFrame macro="">
      <xdr:nvGraphicFramePr>
        <xdr:cNvPr id="58" name="Chart 57">
          <a:extLst>
            <a:ext uri="{FF2B5EF4-FFF2-40B4-BE49-F238E27FC236}">
              <a16:creationId xmlns:a16="http://schemas.microsoft.com/office/drawing/2014/main" id="{FC638ED2-C42F-4F39-A8EC-8FC94D343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142551</xdr:colOff>
      <xdr:row>9</xdr:row>
      <xdr:rowOff>149031</xdr:rowOff>
    </xdr:from>
    <xdr:to>
      <xdr:col>16</xdr:col>
      <xdr:colOff>213827</xdr:colOff>
      <xdr:row>16</xdr:row>
      <xdr:rowOff>149031</xdr:rowOff>
    </xdr:to>
    <xdr:graphicFrame macro="">
      <xdr:nvGraphicFramePr>
        <xdr:cNvPr id="59" name="Chart 58">
          <a:extLst>
            <a:ext uri="{FF2B5EF4-FFF2-40B4-BE49-F238E27FC236}">
              <a16:creationId xmlns:a16="http://schemas.microsoft.com/office/drawing/2014/main" id="{81D1206F-DDEA-4DD9-A267-854E21364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113913</xdr:colOff>
      <xdr:row>19</xdr:row>
      <xdr:rowOff>123113</xdr:rowOff>
    </xdr:from>
    <xdr:to>
      <xdr:col>7</xdr:col>
      <xdr:colOff>213826</xdr:colOff>
      <xdr:row>26</xdr:row>
      <xdr:rowOff>136072</xdr:rowOff>
    </xdr:to>
    <xdr:graphicFrame macro="">
      <xdr:nvGraphicFramePr>
        <xdr:cNvPr id="68" name="Chart 67">
          <a:extLst>
            <a:ext uri="{FF2B5EF4-FFF2-40B4-BE49-F238E27FC236}">
              <a16:creationId xmlns:a16="http://schemas.microsoft.com/office/drawing/2014/main" id="{283BACD1-81A2-4E3B-8AC7-F34DF3F9F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444374</xdr:colOff>
      <xdr:row>19</xdr:row>
      <xdr:rowOff>100983</xdr:rowOff>
    </xdr:from>
    <xdr:to>
      <xdr:col>11</xdr:col>
      <xdr:colOff>518368</xdr:colOff>
      <xdr:row>26</xdr:row>
      <xdr:rowOff>123112</xdr:rowOff>
    </xdr:to>
    <xdr:graphicFrame macro="">
      <xdr:nvGraphicFramePr>
        <xdr:cNvPr id="71" name="Chart 70">
          <a:extLst>
            <a:ext uri="{FF2B5EF4-FFF2-40B4-BE49-F238E27FC236}">
              <a16:creationId xmlns:a16="http://schemas.microsoft.com/office/drawing/2014/main" id="{770E9157-CE61-4D1F-82F9-4D3ABAFBF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129588</xdr:colOff>
      <xdr:row>19</xdr:row>
      <xdr:rowOff>90714</xdr:rowOff>
    </xdr:from>
    <xdr:to>
      <xdr:col>16</xdr:col>
      <xdr:colOff>253582</xdr:colOff>
      <xdr:row>26</xdr:row>
      <xdr:rowOff>100874</xdr:rowOff>
    </xdr:to>
    <xdr:graphicFrame macro="">
      <xdr:nvGraphicFramePr>
        <xdr:cNvPr id="73" name="Chart 72">
          <a:extLst>
            <a:ext uri="{FF2B5EF4-FFF2-40B4-BE49-F238E27FC236}">
              <a16:creationId xmlns:a16="http://schemas.microsoft.com/office/drawing/2014/main" id="{0B1C8B9F-AECF-43F8-8DAA-D8DC317E2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883060763888" backgroundQuery="1" createdVersion="8" refreshedVersion="8" minRefreshableVersion="3" recordCount="0" supportSubquery="1" supportAdvancedDrill="1" xr:uid="{37CBBBD2-EC35-4B67-9234-4E4F09A1B750}">
  <cacheSource type="external" connectionId="2"/>
  <cacheFields count="3">
    <cacheField name="[Brain_Pharmacy].[Product Name].[Product Name]" caption="Product Name" numFmtId="0" hierarchy="8" level="1">
      <sharedItems count="5">
        <s v="Afluferon Entrarenone"/>
        <s v="Aggrakine"/>
        <s v="Cricane Acamsumab"/>
        <s v="Immurenol Temarate"/>
        <s v="Raparidol"/>
      </sharedItems>
    </cacheField>
    <cacheField name="[Measures].[Sum of Gross Sales]" caption="Sum of Gross Sales" numFmtId="0" hierarchy="27" level="32767"/>
    <cacheField name="[Brain_Pharmacy].[Product Class].[Product Class]" caption="Product Class" numFmtId="0" hierarchy="9" level="1">
      <sharedItems containsSemiMixedTypes="0" containsNonDate="0" containsString="0"/>
    </cacheField>
  </cacheFields>
  <cacheHierarchies count="34">
    <cacheHierarchy uniqueName="[Brain_Pharmacy].[Distributor]" caption="Distributor" attribute="1" defaultMemberUniqueName="[Brain_Pharmacy].[Distributor].[All]" allUniqueName="[Brain_Pharmacy].[Distributor].[All]" dimensionUniqueName="[Brain_Pharmacy]" displayFolder="" count="2" memberValueDatatype="130" unbalanced="0"/>
    <cacheHierarchy uniqueName="[Brain_Pharmacy].[Customer Name]" caption="Customer Name" attribute="1" defaultMemberUniqueName="[Brain_Pharmacy].[Customer Name].[All]" allUniqueName="[Brain_Pharmacy].[Customer Name].[All]" dimensionUniqueName="[Brain_Pharmacy]" displayFolder="" count="2" memberValueDatatype="130" unbalanced="0"/>
    <cacheHierarchy uniqueName="[Brain_Pharmacy].[City]" caption="City" attribute="1" defaultMemberUniqueName="[Brain_Pharmacy].[City].[All]" allUniqueName="[Brain_Pharmacy].[City].[All]" dimensionUniqueName="[Brain_Pharmacy]" displayFolder="" count="2" memberValueDatatype="130" unbalanced="0"/>
    <cacheHierarchy uniqueName="[Brain_Pharmacy].[Country]" caption="Country" attribute="1" defaultMemberUniqueName="[Brain_Pharmacy].[Country].[All]" allUniqueName="[Brain_Pharmacy].[Country].[All]" dimensionUniqueName="[Brain_Pharmacy]" displayFolder="" count="2" memberValueDatatype="130" unbalanced="0"/>
    <cacheHierarchy uniqueName="[Brain_Pharmacy].[Latitude]" caption="Latitude" attribute="1" defaultMemberUniqueName="[Brain_Pharmacy].[Latitude].[All]" allUniqueName="[Brain_Pharmacy].[Latitude].[All]" dimensionUniqueName="[Brain_Pharmacy]" displayFolder="" count="2" memberValueDatatype="5" unbalanced="0"/>
    <cacheHierarchy uniqueName="[Brain_Pharmacy].[Longitude]" caption="Longitude" attribute="1" defaultMemberUniqueName="[Brain_Pharmacy].[Longitude].[All]" allUniqueName="[Brain_Pharmacy].[Longitude].[All]" dimensionUniqueName="[Brain_Pharmacy]" displayFolder="" count="2" memberValueDatatype="5" unbalanced="0"/>
    <cacheHierarchy uniqueName="[Brain_Pharmacy].[Channel]" caption="Channel" attribute="1" defaultMemberUniqueName="[Brain_Pharmacy].[Channel].[All]" allUniqueName="[Brain_Pharmacy].[Channel].[All]" dimensionUniqueName="[Brain_Pharmacy]" displayFolder="" count="2" memberValueDatatype="130" unbalanced="0"/>
    <cacheHierarchy uniqueName="[Brain_Pharmacy].[Sub-channel]" caption="Sub-channel" attribute="1" defaultMemberUniqueName="[Brain_Pharmacy].[Sub-channel].[All]" allUniqueName="[Brain_Pharmacy].[Sub-channel].[All]" dimensionUniqueName="[Brain_Pharmacy]" displayFolder="" count="2" memberValueDatatype="130" unbalanced="0"/>
    <cacheHierarchy uniqueName="[Brain_Pharmacy].[Product Name]" caption="Product Name" attribute="1" defaultMemberUniqueName="[Brain_Pharmacy].[Product Name].[All]" allUniqueName="[Brain_Pharmacy].[Product Name].[All]" dimensionUniqueName="[Brain_Pharmacy]" displayFolder="" count="2" memberValueDatatype="130" unbalanced="0">
      <fieldsUsage count="2">
        <fieldUsage x="-1"/>
        <fieldUsage x="0"/>
      </fieldsUsage>
    </cacheHierarchy>
    <cacheHierarchy uniqueName="[Brain_Pharmacy].[Product Class]" caption="Product Class" attribute="1" defaultMemberUniqueName="[Brain_Pharmacy].[Product Class].[All]" allUniqueName="[Brain_Pharmacy].[Product Class].[All]" dimensionUniqueName="[Brain_Pharmacy]" displayFolder="" count="2" memberValueDatatype="130" unbalanced="0">
      <fieldsUsage count="2">
        <fieldUsage x="-1"/>
        <fieldUsage x="2"/>
      </fieldsUsage>
    </cacheHierarchy>
    <cacheHierarchy uniqueName="[Brain_Pharmacy].[Quantity]" caption="Quantity" attribute="1" defaultMemberUniqueName="[Brain_Pharmacy].[Quantity].[All]" allUniqueName="[Brain_Pharmacy].[Quantity].[All]" dimensionUniqueName="[Brain_Pharmacy]" displayFolder="" count="2" memberValueDatatype="20" unbalanced="0"/>
    <cacheHierarchy uniqueName="[Brain_Pharmacy].[Price]" caption="Price" attribute="1" defaultMemberUniqueName="[Brain_Pharmacy].[Price].[All]" allUniqueName="[Brain_Pharmacy].[Price].[All]" dimensionUniqueName="[Brain_Pharmacy]" displayFolder="" count="2" memberValueDatatype="20" unbalanced="0"/>
    <cacheHierarchy uniqueName="[Brain_Pharmacy].[Sales]" caption="Sales" attribute="1" defaultMemberUniqueName="[Brain_Pharmacy].[Sales].[All]" allUniqueName="[Brain_Pharmacy].[Sales].[All]" dimensionUniqueName="[Brain_Pharmacy]" displayFolder="" count="2" memberValueDatatype="20" unbalanced="0"/>
    <cacheHierarchy uniqueName="[Brain_Pharmacy].[Gross Sales]" caption="Gross Sales" attribute="1" defaultMemberUniqueName="[Brain_Pharmacy].[Gross Sales].[All]" allUniqueName="[Brain_Pharmacy].[Gross Sales].[All]" dimensionUniqueName="[Brain_Pharmacy]" displayFolder="" count="2" memberValueDatatype="20" unbalanced="0"/>
    <cacheHierarchy uniqueName="[Brain_Pharmacy].[Returns (Negative Sales)]" caption="Returns (Negative Sales)" attribute="1" defaultMemberUniqueName="[Brain_Pharmacy].[Returns (Negative Sales)].[All]" allUniqueName="[Brain_Pharmacy].[Returns (Negative Sales)].[All]" dimensionUniqueName="[Brain_Pharmacy]" displayFolder="" count="2" memberValueDatatype="20" unbalanced="0"/>
    <cacheHierarchy uniqueName="[Brain_Pharmacy].[Month]" caption="Month" attribute="1" defaultMemberUniqueName="[Brain_Pharmacy].[Month].[All]" allUniqueName="[Brain_Pharmacy].[Month].[All]" dimensionUniqueName="[Brain_Pharmacy]" displayFolder="" count="2" memberValueDatatype="130" unbalanced="0"/>
    <cacheHierarchy uniqueName="[Brain_Pharmacy].[Year]" caption="Year" attribute="1" defaultMemberUniqueName="[Brain_Pharmacy].[Year].[All]" allUniqueName="[Brain_Pharmacy].[Year].[All]" dimensionUniqueName="[Brain_Pharmacy]" displayFolder="" count="2" memberValueDatatype="20" unbalanced="0"/>
    <cacheHierarchy uniqueName="[Brain_Pharmacy].[Name of Sales Rep]" caption="Name of Sales Rep" attribute="1" defaultMemberUniqueName="[Brain_Pharmacy].[Name of Sales Rep].[All]" allUniqueName="[Brain_Pharmacy].[Name of Sales Rep].[All]" dimensionUniqueName="[Brain_Pharmacy]" displayFolder="" count="2" memberValueDatatype="130" unbalanced="0"/>
    <cacheHierarchy uniqueName="[Brain_Pharmacy].[Manager]" caption="Manager" attribute="1" defaultMemberUniqueName="[Brain_Pharmacy].[Manager].[All]" allUniqueName="[Brain_Pharmacy].[Manager].[All]" dimensionUniqueName="[Brain_Pharmacy]" displayFolder="" count="2" memberValueDatatype="130" unbalanced="0"/>
    <cacheHierarchy uniqueName="[Brain_Pharmacy].[Sales Team]" caption="Sales Team" attribute="1" defaultMemberUniqueName="[Brain_Pharmacy].[Sales Team].[All]" allUniqueName="[Brain_Pharmacy].[Sales Team].[All]" dimensionUniqueName="[Brain_Pharmacy]" displayFolder="" count="2" memberValueDatatype="130" unbalanced="0"/>
    <cacheHierarchy uniqueName="[Table3].[Number of Products]" caption="Number of Products" attribute="1" defaultMemberUniqueName="[Table3].[Number of Products].[All]" allUniqueName="[Table3].[Number of Products].[All]" dimensionUniqueName="[Table3]" displayFolder="" count="2" memberValueDatatype="20" unbalanced="0"/>
    <cacheHierarchy uniqueName="[Measures].[__XL_Count Brain_Pharmacy]" caption="__XL_Count Brain_Pharmacy" measure="1" displayFolder="" measureGroup="Brain_Pharmacy"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roduct Name]" caption="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Number of Products]" caption="Sum of Number of Products" measure="1" displayFolder="" measureGroup="Table3" count="0" hidden="1">
      <extLst>
        <ext xmlns:x15="http://schemas.microsoft.com/office/spreadsheetml/2010/11/main" uri="{B97F6D7D-B522-45F9-BDA1-12C45D357490}">
          <x15:cacheHierarchy aggregatedColumn="20"/>
        </ext>
      </extLst>
    </cacheHierarchy>
    <cacheHierarchy uniqueName="[Measures].[Distinct Count of Product Name]" caption="Distinct 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Gross Sales]" caption="Sum of Gross Sales" measure="1" displayFolder="" measureGroup="Brain_Pharmacy"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Sales]" caption="Sum of Sales" measure="1" displayFolder="" measureGroup="Brain_Pharmacy" count="0" hidden="1">
      <extLst>
        <ext xmlns:x15="http://schemas.microsoft.com/office/spreadsheetml/2010/11/main" uri="{B97F6D7D-B522-45F9-BDA1-12C45D357490}">
          <x15:cacheHierarchy aggregatedColumn="12"/>
        </ext>
      </extLst>
    </cacheHierarchy>
    <cacheHierarchy uniqueName="[Measures].[Sum of Returns (Negative Sales)]" caption="Sum of Returns (Negative Sales)" measure="1" displayFolder="" measureGroup="Brain_Pharmacy"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Brain_Pharmacy"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Brain_Pharmacy"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Brain_Pharmacy"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Brain_Pharmacy" count="0" hidden="1">
      <extLst>
        <ext xmlns:x15="http://schemas.microsoft.com/office/spreadsheetml/2010/11/main" uri="{B97F6D7D-B522-45F9-BDA1-12C45D357490}">
          <x15:cacheHierarchy aggregatedColumn="16"/>
        </ext>
      </extLst>
    </cacheHierarchy>
  </cacheHierarchies>
  <kpis count="0"/>
  <dimensions count="3">
    <dimension name="Brain_Pharmacy" uniqueName="[Brain_Pharmacy]" caption="Brain_Pharmacy"/>
    <dimension measure="1" name="Measures" uniqueName="[Measures]" caption="Measures"/>
    <dimension name="Table3" uniqueName="[Table3]" caption="Table3"/>
  </dimensions>
  <measureGroups count="2">
    <measureGroup name="Brain_Pharmacy" caption="Brain_Pharmacy"/>
    <measureGroup name="Table3" caption="Table3"/>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883060879627" backgroundQuery="1" createdVersion="8" refreshedVersion="8" minRefreshableVersion="3" recordCount="0" supportSubquery="1" supportAdvancedDrill="1" xr:uid="{11AC6200-0523-4B1E-8FFB-212302FA92B0}">
  <cacheSource type="external" connectionId="2"/>
  <cacheFields count="2">
    <cacheField name="[Measures].[Distinct Count of Product Name]" caption="Distinct Count of Product Name" numFmtId="0" hierarchy="26" level="32767"/>
    <cacheField name="[Brain_Pharmacy].[Product Class].[Product Class]" caption="Product Class" numFmtId="0" hierarchy="9" level="1">
      <sharedItems containsSemiMixedTypes="0" containsNonDate="0" containsString="0"/>
    </cacheField>
  </cacheFields>
  <cacheHierarchies count="34">
    <cacheHierarchy uniqueName="[Brain_Pharmacy].[Distributor]" caption="Distributor" attribute="1" defaultMemberUniqueName="[Brain_Pharmacy].[Distributor].[All]" allUniqueName="[Brain_Pharmacy].[Distributor].[All]" dimensionUniqueName="[Brain_Pharmacy]" displayFolder="" count="0" memberValueDatatype="130" unbalanced="0"/>
    <cacheHierarchy uniqueName="[Brain_Pharmacy].[Customer Name]" caption="Customer Name" attribute="1" defaultMemberUniqueName="[Brain_Pharmacy].[Customer Name].[All]" allUniqueName="[Brain_Pharmacy].[Customer Name].[All]" dimensionUniqueName="[Brain_Pharmacy]" displayFolder="" count="0" memberValueDatatype="130" unbalanced="0"/>
    <cacheHierarchy uniqueName="[Brain_Pharmacy].[City]" caption="City" attribute="1" defaultMemberUniqueName="[Brain_Pharmacy].[City].[All]" allUniqueName="[Brain_Pharmacy].[City].[All]" dimensionUniqueName="[Brain_Pharmacy]" displayFolder="" count="0" memberValueDatatype="130" unbalanced="0"/>
    <cacheHierarchy uniqueName="[Brain_Pharmacy].[Country]" caption="Country" attribute="1" defaultMemberUniqueName="[Brain_Pharmacy].[Country].[All]" allUniqueName="[Brain_Pharmacy].[Country].[All]" dimensionUniqueName="[Brain_Pharmacy]" displayFolder="" count="2" memberValueDatatype="130" unbalanced="0"/>
    <cacheHierarchy uniqueName="[Brain_Pharmacy].[Latitude]" caption="Latitude" attribute="1" defaultMemberUniqueName="[Brain_Pharmacy].[Latitude].[All]" allUniqueName="[Brain_Pharmacy].[Latitude].[All]" dimensionUniqueName="[Brain_Pharmacy]" displayFolder="" count="0" memberValueDatatype="5" unbalanced="0"/>
    <cacheHierarchy uniqueName="[Brain_Pharmacy].[Longitude]" caption="Longitude" attribute="1" defaultMemberUniqueName="[Brain_Pharmacy].[Longitude].[All]" allUniqueName="[Brain_Pharmacy].[Longitude].[All]" dimensionUniqueName="[Brain_Pharmacy]" displayFolder="" count="0" memberValueDatatype="5" unbalanced="0"/>
    <cacheHierarchy uniqueName="[Brain_Pharmacy].[Channel]" caption="Channel" attribute="1" defaultMemberUniqueName="[Brain_Pharmacy].[Channel].[All]" allUniqueName="[Brain_Pharmacy].[Channel].[All]" dimensionUniqueName="[Brain_Pharmacy]" displayFolder="" count="2" memberValueDatatype="130" unbalanced="0"/>
    <cacheHierarchy uniqueName="[Brain_Pharmacy].[Sub-channel]" caption="Sub-channel" attribute="1" defaultMemberUniqueName="[Brain_Pharmacy].[Sub-channel].[All]" allUniqueName="[Brain_Pharmacy].[Sub-channel].[All]" dimensionUniqueName="[Brain_Pharmacy]" displayFolder="" count="0" memberValueDatatype="130" unbalanced="0"/>
    <cacheHierarchy uniqueName="[Brain_Pharmacy].[Product Name]" caption="Product Name" attribute="1" defaultMemberUniqueName="[Brain_Pharmacy].[Product Name].[All]" allUniqueName="[Brain_Pharmacy].[Product Name].[All]" dimensionUniqueName="[Brain_Pharmacy]" displayFolder="" count="0" memberValueDatatype="130" unbalanced="0"/>
    <cacheHierarchy uniqueName="[Brain_Pharmacy].[Product Class]" caption="Product Class" attribute="1" defaultMemberUniqueName="[Brain_Pharmacy].[Product Class].[All]" allUniqueName="[Brain_Pharmacy].[Product Class].[All]" dimensionUniqueName="[Brain_Pharmacy]" displayFolder="" count="2" memberValueDatatype="130" unbalanced="0">
      <fieldsUsage count="2">
        <fieldUsage x="-1"/>
        <fieldUsage x="1"/>
      </fieldsUsage>
    </cacheHierarchy>
    <cacheHierarchy uniqueName="[Brain_Pharmacy].[Quantity]" caption="Quantity" attribute="1" defaultMemberUniqueName="[Brain_Pharmacy].[Quantity].[All]" allUniqueName="[Brain_Pharmacy].[Quantity].[All]" dimensionUniqueName="[Brain_Pharmacy]" displayFolder="" count="0" memberValueDatatype="20" unbalanced="0"/>
    <cacheHierarchy uniqueName="[Brain_Pharmacy].[Price]" caption="Price" attribute="1" defaultMemberUniqueName="[Brain_Pharmacy].[Price].[All]" allUniqueName="[Brain_Pharmacy].[Price].[All]" dimensionUniqueName="[Brain_Pharmacy]" displayFolder="" count="0" memberValueDatatype="20" unbalanced="0"/>
    <cacheHierarchy uniqueName="[Brain_Pharmacy].[Sales]" caption="Sales" attribute="1" defaultMemberUniqueName="[Brain_Pharmacy].[Sales].[All]" allUniqueName="[Brain_Pharmacy].[Sales].[All]" dimensionUniqueName="[Brain_Pharmacy]" displayFolder="" count="0" memberValueDatatype="20" unbalanced="0"/>
    <cacheHierarchy uniqueName="[Brain_Pharmacy].[Gross Sales]" caption="Gross Sales" attribute="1" defaultMemberUniqueName="[Brain_Pharmacy].[Gross Sales].[All]" allUniqueName="[Brain_Pharmacy].[Gross Sales].[All]" dimensionUniqueName="[Brain_Pharmacy]" displayFolder="" count="0" memberValueDatatype="20" unbalanced="0"/>
    <cacheHierarchy uniqueName="[Brain_Pharmacy].[Returns (Negative Sales)]" caption="Returns (Negative Sales)" attribute="1" defaultMemberUniqueName="[Brain_Pharmacy].[Returns (Negative Sales)].[All]" allUniqueName="[Brain_Pharmacy].[Returns (Negative Sales)].[All]" dimensionUniqueName="[Brain_Pharmacy]" displayFolder="" count="0" memberValueDatatype="20" unbalanced="0"/>
    <cacheHierarchy uniqueName="[Brain_Pharmacy].[Month]" caption="Month" attribute="1" defaultMemberUniqueName="[Brain_Pharmacy].[Month].[All]" allUniqueName="[Brain_Pharmacy].[Month].[All]" dimensionUniqueName="[Brain_Pharmacy]" displayFolder="" count="0" memberValueDatatype="130" unbalanced="0"/>
    <cacheHierarchy uniqueName="[Brain_Pharmacy].[Year]" caption="Year" attribute="1" defaultMemberUniqueName="[Brain_Pharmacy].[Year].[All]" allUniqueName="[Brain_Pharmacy].[Year].[All]" dimensionUniqueName="[Brain_Pharmacy]" displayFolder="" count="2" memberValueDatatype="20" unbalanced="0"/>
    <cacheHierarchy uniqueName="[Brain_Pharmacy].[Name of Sales Rep]" caption="Name of Sales Rep" attribute="1" defaultMemberUniqueName="[Brain_Pharmacy].[Name of Sales Rep].[All]" allUniqueName="[Brain_Pharmacy].[Name of Sales Rep].[All]" dimensionUniqueName="[Brain_Pharmacy]" displayFolder="" count="0" memberValueDatatype="130" unbalanced="0"/>
    <cacheHierarchy uniqueName="[Brain_Pharmacy].[Manager]" caption="Manager" attribute="1" defaultMemberUniqueName="[Brain_Pharmacy].[Manager].[All]" allUniqueName="[Brain_Pharmacy].[Manager].[All]" dimensionUniqueName="[Brain_Pharmacy]" displayFolder="" count="0" memberValueDatatype="130" unbalanced="0"/>
    <cacheHierarchy uniqueName="[Brain_Pharmacy].[Sales Team]" caption="Sales Team" attribute="1" defaultMemberUniqueName="[Brain_Pharmacy].[Sales Team].[All]" allUniqueName="[Brain_Pharmacy].[Sales Team].[All]" dimensionUniqueName="[Brain_Pharmacy]" displayFolder="" count="0" memberValueDatatype="130" unbalanced="0"/>
    <cacheHierarchy uniqueName="[Table3].[Number of Products]" caption="Number of Products" attribute="1" defaultMemberUniqueName="[Table3].[Number of Products].[All]" allUniqueName="[Table3].[Number of Products].[All]" dimensionUniqueName="[Table3]" displayFolder="" count="0" memberValueDatatype="20" unbalanced="0"/>
    <cacheHierarchy uniqueName="[Measures].[__XL_Count Brain_Pharmacy]" caption="__XL_Count Brain_Pharmacy" measure="1" displayFolder="" measureGroup="Brain_Pharmacy"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roduct Name]" caption="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Number of Products]" caption="Sum of Number of Products" measure="1" displayFolder="" measureGroup="Table3" count="0" hidden="1">
      <extLst>
        <ext xmlns:x15="http://schemas.microsoft.com/office/spreadsheetml/2010/11/main" uri="{B97F6D7D-B522-45F9-BDA1-12C45D357490}">
          <x15:cacheHierarchy aggregatedColumn="20"/>
        </ext>
      </extLst>
    </cacheHierarchy>
    <cacheHierarchy uniqueName="[Measures].[Distinct Count of Product Name]" caption="Distinct Count of Product Name" measure="1" displayFolder="" measureGroup="Brain_Pharmacy"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Gross Sales]" caption="Sum of Gross Sales" measure="1" displayFolder="" measureGroup="Brain_Pharmacy"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Brain_Pharmacy" count="0" hidden="1">
      <extLst>
        <ext xmlns:x15="http://schemas.microsoft.com/office/spreadsheetml/2010/11/main" uri="{B97F6D7D-B522-45F9-BDA1-12C45D357490}">
          <x15:cacheHierarchy aggregatedColumn="12"/>
        </ext>
      </extLst>
    </cacheHierarchy>
    <cacheHierarchy uniqueName="[Measures].[Sum of Returns (Negative Sales)]" caption="Sum of Returns (Negative Sales)" measure="1" displayFolder="" measureGroup="Brain_Pharmacy"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Brain_Pharmacy"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Brain_Pharmacy"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Brain_Pharmacy"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Brain_Pharmacy" count="0" hidden="1">
      <extLst>
        <ext xmlns:x15="http://schemas.microsoft.com/office/spreadsheetml/2010/11/main" uri="{B97F6D7D-B522-45F9-BDA1-12C45D357490}">
          <x15:cacheHierarchy aggregatedColumn="16"/>
        </ext>
      </extLst>
    </cacheHierarchy>
  </cacheHierarchies>
  <kpis count="0"/>
  <dimensions count="3">
    <dimension name="Brain_Pharmacy" uniqueName="[Brain_Pharmacy]" caption="Brain_Pharmacy"/>
    <dimension measure="1" name="Measures" uniqueName="[Measures]" caption="Measures"/>
    <dimension name="Table3" uniqueName="[Table3]" caption="Table3"/>
  </dimensions>
  <measureGroups count="2">
    <measureGroup name="Brain_Pharmacy" caption="Brain_Pharmacy"/>
    <measureGroup name="Table3" caption="Table3"/>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883061111112" backgroundQuery="1" createdVersion="8" refreshedVersion="8" minRefreshableVersion="3" recordCount="0" supportSubquery="1" supportAdvancedDrill="1" xr:uid="{D0388015-99B8-49D5-9804-59206DDEC95D}">
  <cacheSource type="external" connectionId="2"/>
  <cacheFields count="2">
    <cacheField name="[Measures].[Sum of Returns (Negative Sales)]" caption="Sum of Returns (Negative Sales)" numFmtId="0" hierarchy="29" level="32767"/>
    <cacheField name="[Brain_Pharmacy].[Product Class].[Product Class]" caption="Product Class" numFmtId="0" hierarchy="9" level="1">
      <sharedItems containsSemiMixedTypes="0" containsNonDate="0" containsString="0"/>
    </cacheField>
  </cacheFields>
  <cacheHierarchies count="34">
    <cacheHierarchy uniqueName="[Brain_Pharmacy].[Distributor]" caption="Distributor" attribute="1" defaultMemberUniqueName="[Brain_Pharmacy].[Distributor].[All]" allUniqueName="[Brain_Pharmacy].[Distributor].[All]" dimensionUniqueName="[Brain_Pharmacy]" displayFolder="" count="0" memberValueDatatype="130" unbalanced="0"/>
    <cacheHierarchy uniqueName="[Brain_Pharmacy].[Customer Name]" caption="Customer Name" attribute="1" defaultMemberUniqueName="[Brain_Pharmacy].[Customer Name].[All]" allUniqueName="[Brain_Pharmacy].[Customer Name].[All]" dimensionUniqueName="[Brain_Pharmacy]" displayFolder="" count="0" memberValueDatatype="130" unbalanced="0"/>
    <cacheHierarchy uniqueName="[Brain_Pharmacy].[City]" caption="City" attribute="1" defaultMemberUniqueName="[Brain_Pharmacy].[City].[All]" allUniqueName="[Brain_Pharmacy].[City].[All]" dimensionUniqueName="[Brain_Pharmacy]" displayFolder="" count="0" memberValueDatatype="130" unbalanced="0"/>
    <cacheHierarchy uniqueName="[Brain_Pharmacy].[Country]" caption="Country" attribute="1" defaultMemberUniqueName="[Brain_Pharmacy].[Country].[All]" allUniqueName="[Brain_Pharmacy].[Country].[All]" dimensionUniqueName="[Brain_Pharmacy]" displayFolder="" count="2" memberValueDatatype="130" unbalanced="0"/>
    <cacheHierarchy uniqueName="[Brain_Pharmacy].[Latitude]" caption="Latitude" attribute="1" defaultMemberUniqueName="[Brain_Pharmacy].[Latitude].[All]" allUniqueName="[Brain_Pharmacy].[Latitude].[All]" dimensionUniqueName="[Brain_Pharmacy]" displayFolder="" count="0" memberValueDatatype="5" unbalanced="0"/>
    <cacheHierarchy uniqueName="[Brain_Pharmacy].[Longitude]" caption="Longitude" attribute="1" defaultMemberUniqueName="[Brain_Pharmacy].[Longitude].[All]" allUniqueName="[Brain_Pharmacy].[Longitude].[All]" dimensionUniqueName="[Brain_Pharmacy]" displayFolder="" count="0" memberValueDatatype="5" unbalanced="0"/>
    <cacheHierarchy uniqueName="[Brain_Pharmacy].[Channel]" caption="Channel" attribute="1" defaultMemberUniqueName="[Brain_Pharmacy].[Channel].[All]" allUniqueName="[Brain_Pharmacy].[Channel].[All]" dimensionUniqueName="[Brain_Pharmacy]" displayFolder="" count="2" memberValueDatatype="130" unbalanced="0"/>
    <cacheHierarchy uniqueName="[Brain_Pharmacy].[Sub-channel]" caption="Sub-channel" attribute="1" defaultMemberUniqueName="[Brain_Pharmacy].[Sub-channel].[All]" allUniqueName="[Brain_Pharmacy].[Sub-channel].[All]" dimensionUniqueName="[Brain_Pharmacy]" displayFolder="" count="0" memberValueDatatype="130" unbalanced="0"/>
    <cacheHierarchy uniqueName="[Brain_Pharmacy].[Product Name]" caption="Product Name" attribute="1" defaultMemberUniqueName="[Brain_Pharmacy].[Product Name].[All]" allUniqueName="[Brain_Pharmacy].[Product Name].[All]" dimensionUniqueName="[Brain_Pharmacy]" displayFolder="" count="0" memberValueDatatype="130" unbalanced="0"/>
    <cacheHierarchy uniqueName="[Brain_Pharmacy].[Product Class]" caption="Product Class" attribute="1" defaultMemberUniqueName="[Brain_Pharmacy].[Product Class].[All]" allUniqueName="[Brain_Pharmacy].[Product Class].[All]" dimensionUniqueName="[Brain_Pharmacy]" displayFolder="" count="2" memberValueDatatype="130" unbalanced="0">
      <fieldsUsage count="2">
        <fieldUsage x="-1"/>
        <fieldUsage x="1"/>
      </fieldsUsage>
    </cacheHierarchy>
    <cacheHierarchy uniqueName="[Brain_Pharmacy].[Quantity]" caption="Quantity" attribute="1" defaultMemberUniqueName="[Brain_Pharmacy].[Quantity].[All]" allUniqueName="[Brain_Pharmacy].[Quantity].[All]" dimensionUniqueName="[Brain_Pharmacy]" displayFolder="" count="0" memberValueDatatype="20" unbalanced="0"/>
    <cacheHierarchy uniqueName="[Brain_Pharmacy].[Price]" caption="Price" attribute="1" defaultMemberUniqueName="[Brain_Pharmacy].[Price].[All]" allUniqueName="[Brain_Pharmacy].[Price].[All]" dimensionUniqueName="[Brain_Pharmacy]" displayFolder="" count="0" memberValueDatatype="20" unbalanced="0"/>
    <cacheHierarchy uniqueName="[Brain_Pharmacy].[Sales]" caption="Sales" attribute="1" defaultMemberUniqueName="[Brain_Pharmacy].[Sales].[All]" allUniqueName="[Brain_Pharmacy].[Sales].[All]" dimensionUniqueName="[Brain_Pharmacy]" displayFolder="" count="0" memberValueDatatype="20" unbalanced="0"/>
    <cacheHierarchy uniqueName="[Brain_Pharmacy].[Gross Sales]" caption="Gross Sales" attribute="1" defaultMemberUniqueName="[Brain_Pharmacy].[Gross Sales].[All]" allUniqueName="[Brain_Pharmacy].[Gross Sales].[All]" dimensionUniqueName="[Brain_Pharmacy]" displayFolder="" count="0" memberValueDatatype="20" unbalanced="0"/>
    <cacheHierarchy uniqueName="[Brain_Pharmacy].[Returns (Negative Sales)]" caption="Returns (Negative Sales)" attribute="1" defaultMemberUniqueName="[Brain_Pharmacy].[Returns (Negative Sales)].[All]" allUniqueName="[Brain_Pharmacy].[Returns (Negative Sales)].[All]" dimensionUniqueName="[Brain_Pharmacy]" displayFolder="" count="0" memberValueDatatype="20" unbalanced="0"/>
    <cacheHierarchy uniqueName="[Brain_Pharmacy].[Month]" caption="Month" attribute="1" defaultMemberUniqueName="[Brain_Pharmacy].[Month].[All]" allUniqueName="[Brain_Pharmacy].[Month].[All]" dimensionUniqueName="[Brain_Pharmacy]" displayFolder="" count="0" memberValueDatatype="130" unbalanced="0"/>
    <cacheHierarchy uniqueName="[Brain_Pharmacy].[Year]" caption="Year" attribute="1" defaultMemberUniqueName="[Brain_Pharmacy].[Year].[All]" allUniqueName="[Brain_Pharmacy].[Year].[All]" dimensionUniqueName="[Brain_Pharmacy]" displayFolder="" count="2" memberValueDatatype="20" unbalanced="0"/>
    <cacheHierarchy uniqueName="[Brain_Pharmacy].[Name of Sales Rep]" caption="Name of Sales Rep" attribute="1" defaultMemberUniqueName="[Brain_Pharmacy].[Name of Sales Rep].[All]" allUniqueName="[Brain_Pharmacy].[Name of Sales Rep].[All]" dimensionUniqueName="[Brain_Pharmacy]" displayFolder="" count="0" memberValueDatatype="130" unbalanced="0"/>
    <cacheHierarchy uniqueName="[Brain_Pharmacy].[Manager]" caption="Manager" attribute="1" defaultMemberUniqueName="[Brain_Pharmacy].[Manager].[All]" allUniqueName="[Brain_Pharmacy].[Manager].[All]" dimensionUniqueName="[Brain_Pharmacy]" displayFolder="" count="0" memberValueDatatype="130" unbalanced="0"/>
    <cacheHierarchy uniqueName="[Brain_Pharmacy].[Sales Team]" caption="Sales Team" attribute="1" defaultMemberUniqueName="[Brain_Pharmacy].[Sales Team].[All]" allUniqueName="[Brain_Pharmacy].[Sales Team].[All]" dimensionUniqueName="[Brain_Pharmacy]" displayFolder="" count="0" memberValueDatatype="130" unbalanced="0"/>
    <cacheHierarchy uniqueName="[Table3].[Number of Products]" caption="Number of Products" attribute="1" defaultMemberUniqueName="[Table3].[Number of Products].[All]" allUniqueName="[Table3].[Number of Products].[All]" dimensionUniqueName="[Table3]" displayFolder="" count="0" memberValueDatatype="20" unbalanced="0"/>
    <cacheHierarchy uniqueName="[Measures].[__XL_Count Brain_Pharmacy]" caption="__XL_Count Brain_Pharmacy" measure="1" displayFolder="" measureGroup="Brain_Pharmacy"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roduct Name]" caption="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Number of Products]" caption="Sum of Number of Products" measure="1" displayFolder="" measureGroup="Table3" count="0" hidden="1">
      <extLst>
        <ext xmlns:x15="http://schemas.microsoft.com/office/spreadsheetml/2010/11/main" uri="{B97F6D7D-B522-45F9-BDA1-12C45D357490}">
          <x15:cacheHierarchy aggregatedColumn="20"/>
        </ext>
      </extLst>
    </cacheHierarchy>
    <cacheHierarchy uniqueName="[Measures].[Distinct Count of Product Name]" caption="Distinct 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Gross Sales]" caption="Sum of Gross Sales" measure="1" displayFolder="" measureGroup="Brain_Pharmacy"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Brain_Pharmacy" count="0" hidden="1">
      <extLst>
        <ext xmlns:x15="http://schemas.microsoft.com/office/spreadsheetml/2010/11/main" uri="{B97F6D7D-B522-45F9-BDA1-12C45D357490}">
          <x15:cacheHierarchy aggregatedColumn="12"/>
        </ext>
      </extLst>
    </cacheHierarchy>
    <cacheHierarchy uniqueName="[Measures].[Sum of Returns (Negative Sales)]" caption="Sum of Returns (Negative Sales)" measure="1" displayFolder="" measureGroup="Brain_Pharmacy"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Brain_Pharmacy"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Brain_Pharmacy"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Brain_Pharmacy"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Brain_Pharmacy" count="0" hidden="1">
      <extLst>
        <ext xmlns:x15="http://schemas.microsoft.com/office/spreadsheetml/2010/11/main" uri="{B97F6D7D-B522-45F9-BDA1-12C45D357490}">
          <x15:cacheHierarchy aggregatedColumn="16"/>
        </ext>
      </extLst>
    </cacheHierarchy>
  </cacheHierarchies>
  <kpis count="0"/>
  <dimensions count="3">
    <dimension name="Brain_Pharmacy" uniqueName="[Brain_Pharmacy]" caption="Brain_Pharmacy"/>
    <dimension measure="1" name="Measures" uniqueName="[Measures]" caption="Measures"/>
    <dimension name="Table3" uniqueName="[Table3]" caption="Table3"/>
  </dimensions>
  <measureGroups count="2">
    <measureGroup name="Brain_Pharmacy" caption="Brain_Pharmacy"/>
    <measureGroup name="Table3" caption="Table3"/>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883061342596" backgroundQuery="1" createdVersion="8" refreshedVersion="8" minRefreshableVersion="3" recordCount="0" supportSubquery="1" supportAdvancedDrill="1" xr:uid="{9EAD0EB7-5756-417C-8B97-FBF0F9D50B40}">
  <cacheSource type="external" connectionId="2"/>
  <cacheFields count="2">
    <cacheField name="[Measures].[Sum of Quantity]" caption="Sum of Quantity" numFmtId="0" hierarchy="30" level="32767"/>
    <cacheField name="[Brain_Pharmacy].[Product Class].[Product Class]" caption="Product Class" numFmtId="0" hierarchy="9" level="1">
      <sharedItems containsSemiMixedTypes="0" containsNonDate="0" containsString="0"/>
    </cacheField>
  </cacheFields>
  <cacheHierarchies count="34">
    <cacheHierarchy uniqueName="[Brain_Pharmacy].[Distributor]" caption="Distributor" attribute="1" defaultMemberUniqueName="[Brain_Pharmacy].[Distributor].[All]" allUniqueName="[Brain_Pharmacy].[Distributor].[All]" dimensionUniqueName="[Brain_Pharmacy]" displayFolder="" count="0" memberValueDatatype="130" unbalanced="0"/>
    <cacheHierarchy uniqueName="[Brain_Pharmacy].[Customer Name]" caption="Customer Name" attribute="1" defaultMemberUniqueName="[Brain_Pharmacy].[Customer Name].[All]" allUniqueName="[Brain_Pharmacy].[Customer Name].[All]" dimensionUniqueName="[Brain_Pharmacy]" displayFolder="" count="0" memberValueDatatype="130" unbalanced="0"/>
    <cacheHierarchy uniqueName="[Brain_Pharmacy].[City]" caption="City" attribute="1" defaultMemberUniqueName="[Brain_Pharmacy].[City].[All]" allUniqueName="[Brain_Pharmacy].[City].[All]" dimensionUniqueName="[Brain_Pharmacy]" displayFolder="" count="0" memberValueDatatype="130" unbalanced="0"/>
    <cacheHierarchy uniqueName="[Brain_Pharmacy].[Country]" caption="Country" attribute="1" defaultMemberUniqueName="[Brain_Pharmacy].[Country].[All]" allUniqueName="[Brain_Pharmacy].[Country].[All]" dimensionUniqueName="[Brain_Pharmacy]" displayFolder="" count="2" memberValueDatatype="130" unbalanced="0"/>
    <cacheHierarchy uniqueName="[Brain_Pharmacy].[Latitude]" caption="Latitude" attribute="1" defaultMemberUniqueName="[Brain_Pharmacy].[Latitude].[All]" allUniqueName="[Brain_Pharmacy].[Latitude].[All]" dimensionUniqueName="[Brain_Pharmacy]" displayFolder="" count="0" memberValueDatatype="5" unbalanced="0"/>
    <cacheHierarchy uniqueName="[Brain_Pharmacy].[Longitude]" caption="Longitude" attribute="1" defaultMemberUniqueName="[Brain_Pharmacy].[Longitude].[All]" allUniqueName="[Brain_Pharmacy].[Longitude].[All]" dimensionUniqueName="[Brain_Pharmacy]" displayFolder="" count="0" memberValueDatatype="5" unbalanced="0"/>
    <cacheHierarchy uniqueName="[Brain_Pharmacy].[Channel]" caption="Channel" attribute="1" defaultMemberUniqueName="[Brain_Pharmacy].[Channel].[All]" allUniqueName="[Brain_Pharmacy].[Channel].[All]" dimensionUniqueName="[Brain_Pharmacy]" displayFolder="" count="2" memberValueDatatype="130" unbalanced="0"/>
    <cacheHierarchy uniqueName="[Brain_Pharmacy].[Sub-channel]" caption="Sub-channel" attribute="1" defaultMemberUniqueName="[Brain_Pharmacy].[Sub-channel].[All]" allUniqueName="[Brain_Pharmacy].[Sub-channel].[All]" dimensionUniqueName="[Brain_Pharmacy]" displayFolder="" count="0" memberValueDatatype="130" unbalanced="0"/>
    <cacheHierarchy uniqueName="[Brain_Pharmacy].[Product Name]" caption="Product Name" attribute="1" defaultMemberUniqueName="[Brain_Pharmacy].[Product Name].[All]" allUniqueName="[Brain_Pharmacy].[Product Name].[All]" dimensionUniqueName="[Brain_Pharmacy]" displayFolder="" count="0" memberValueDatatype="130" unbalanced="0"/>
    <cacheHierarchy uniqueName="[Brain_Pharmacy].[Product Class]" caption="Product Class" attribute="1" defaultMemberUniqueName="[Brain_Pharmacy].[Product Class].[All]" allUniqueName="[Brain_Pharmacy].[Product Class].[All]" dimensionUniqueName="[Brain_Pharmacy]" displayFolder="" count="2" memberValueDatatype="130" unbalanced="0">
      <fieldsUsage count="2">
        <fieldUsage x="-1"/>
        <fieldUsage x="1"/>
      </fieldsUsage>
    </cacheHierarchy>
    <cacheHierarchy uniqueName="[Brain_Pharmacy].[Quantity]" caption="Quantity" attribute="1" defaultMemberUniqueName="[Brain_Pharmacy].[Quantity].[All]" allUniqueName="[Brain_Pharmacy].[Quantity].[All]" dimensionUniqueName="[Brain_Pharmacy]" displayFolder="" count="0" memberValueDatatype="20" unbalanced="0"/>
    <cacheHierarchy uniqueName="[Brain_Pharmacy].[Price]" caption="Price" attribute="1" defaultMemberUniqueName="[Brain_Pharmacy].[Price].[All]" allUniqueName="[Brain_Pharmacy].[Price].[All]" dimensionUniqueName="[Brain_Pharmacy]" displayFolder="" count="0" memberValueDatatype="20" unbalanced="0"/>
    <cacheHierarchy uniqueName="[Brain_Pharmacy].[Sales]" caption="Sales" attribute="1" defaultMemberUniqueName="[Brain_Pharmacy].[Sales].[All]" allUniqueName="[Brain_Pharmacy].[Sales].[All]" dimensionUniqueName="[Brain_Pharmacy]" displayFolder="" count="0" memberValueDatatype="20" unbalanced="0"/>
    <cacheHierarchy uniqueName="[Brain_Pharmacy].[Gross Sales]" caption="Gross Sales" attribute="1" defaultMemberUniqueName="[Brain_Pharmacy].[Gross Sales].[All]" allUniqueName="[Brain_Pharmacy].[Gross Sales].[All]" dimensionUniqueName="[Brain_Pharmacy]" displayFolder="" count="0" memberValueDatatype="20" unbalanced="0"/>
    <cacheHierarchy uniqueName="[Brain_Pharmacy].[Returns (Negative Sales)]" caption="Returns (Negative Sales)" attribute="1" defaultMemberUniqueName="[Brain_Pharmacy].[Returns (Negative Sales)].[All]" allUniqueName="[Brain_Pharmacy].[Returns (Negative Sales)].[All]" dimensionUniqueName="[Brain_Pharmacy]" displayFolder="" count="0" memberValueDatatype="20" unbalanced="0"/>
    <cacheHierarchy uniqueName="[Brain_Pharmacy].[Month]" caption="Month" attribute="1" defaultMemberUniqueName="[Brain_Pharmacy].[Month].[All]" allUniqueName="[Brain_Pharmacy].[Month].[All]" dimensionUniqueName="[Brain_Pharmacy]" displayFolder="" count="0" memberValueDatatype="130" unbalanced="0"/>
    <cacheHierarchy uniqueName="[Brain_Pharmacy].[Year]" caption="Year" attribute="1" defaultMemberUniqueName="[Brain_Pharmacy].[Year].[All]" allUniqueName="[Brain_Pharmacy].[Year].[All]" dimensionUniqueName="[Brain_Pharmacy]" displayFolder="" count="2" memberValueDatatype="20" unbalanced="0"/>
    <cacheHierarchy uniqueName="[Brain_Pharmacy].[Name of Sales Rep]" caption="Name of Sales Rep" attribute="1" defaultMemberUniqueName="[Brain_Pharmacy].[Name of Sales Rep].[All]" allUniqueName="[Brain_Pharmacy].[Name of Sales Rep].[All]" dimensionUniqueName="[Brain_Pharmacy]" displayFolder="" count="0" memberValueDatatype="130" unbalanced="0"/>
    <cacheHierarchy uniqueName="[Brain_Pharmacy].[Manager]" caption="Manager" attribute="1" defaultMemberUniqueName="[Brain_Pharmacy].[Manager].[All]" allUniqueName="[Brain_Pharmacy].[Manager].[All]" dimensionUniqueName="[Brain_Pharmacy]" displayFolder="" count="0" memberValueDatatype="130" unbalanced="0"/>
    <cacheHierarchy uniqueName="[Brain_Pharmacy].[Sales Team]" caption="Sales Team" attribute="1" defaultMemberUniqueName="[Brain_Pharmacy].[Sales Team].[All]" allUniqueName="[Brain_Pharmacy].[Sales Team].[All]" dimensionUniqueName="[Brain_Pharmacy]" displayFolder="" count="0" memberValueDatatype="130" unbalanced="0"/>
    <cacheHierarchy uniqueName="[Table3].[Number of Products]" caption="Number of Products" attribute="1" defaultMemberUniqueName="[Table3].[Number of Products].[All]" allUniqueName="[Table3].[Number of Products].[All]" dimensionUniqueName="[Table3]" displayFolder="" count="0" memberValueDatatype="20" unbalanced="0"/>
    <cacheHierarchy uniqueName="[Measures].[__XL_Count Brain_Pharmacy]" caption="__XL_Count Brain_Pharmacy" measure="1" displayFolder="" measureGroup="Brain_Pharmacy"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roduct Name]" caption="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Number of Products]" caption="Sum of Number of Products" measure="1" displayFolder="" measureGroup="Table3" count="0" hidden="1">
      <extLst>
        <ext xmlns:x15="http://schemas.microsoft.com/office/spreadsheetml/2010/11/main" uri="{B97F6D7D-B522-45F9-BDA1-12C45D357490}">
          <x15:cacheHierarchy aggregatedColumn="20"/>
        </ext>
      </extLst>
    </cacheHierarchy>
    <cacheHierarchy uniqueName="[Measures].[Distinct Count of Product Name]" caption="Distinct 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Gross Sales]" caption="Sum of Gross Sales" measure="1" displayFolder="" measureGroup="Brain_Pharmacy"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Brain_Pharmacy" count="0" hidden="1">
      <extLst>
        <ext xmlns:x15="http://schemas.microsoft.com/office/spreadsheetml/2010/11/main" uri="{B97F6D7D-B522-45F9-BDA1-12C45D357490}">
          <x15:cacheHierarchy aggregatedColumn="12"/>
        </ext>
      </extLst>
    </cacheHierarchy>
    <cacheHierarchy uniqueName="[Measures].[Sum of Returns (Negative Sales)]" caption="Sum of Returns (Negative Sales)" measure="1" displayFolder="" measureGroup="Brain_Pharmacy"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Brain_Pharmacy"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rice]" caption="Sum of Price" measure="1" displayFolder="" measureGroup="Brain_Pharmacy"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Brain_Pharmacy"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Brain_Pharmacy" count="0" hidden="1">
      <extLst>
        <ext xmlns:x15="http://schemas.microsoft.com/office/spreadsheetml/2010/11/main" uri="{B97F6D7D-B522-45F9-BDA1-12C45D357490}">
          <x15:cacheHierarchy aggregatedColumn="16"/>
        </ext>
      </extLst>
    </cacheHierarchy>
  </cacheHierarchies>
  <kpis count="0"/>
  <dimensions count="3">
    <dimension name="Brain_Pharmacy" uniqueName="[Brain_Pharmacy]" caption="Brain_Pharmacy"/>
    <dimension measure="1" name="Measures" uniqueName="[Measures]" caption="Measures"/>
    <dimension name="Table3" uniqueName="[Table3]" caption="Table3"/>
  </dimensions>
  <measureGroups count="2">
    <measureGroup name="Brain_Pharmacy" caption="Brain_Pharmacy"/>
    <measureGroup name="Table3" caption="Table3"/>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883061689812" backgroundQuery="1" createdVersion="8" refreshedVersion="8" minRefreshableVersion="3" recordCount="0" supportSubquery="1" supportAdvancedDrill="1" xr:uid="{A6E978D6-06BE-4E0D-94B3-563EBB647512}">
  <cacheSource type="external" connectionId="2"/>
  <cacheFields count="2">
    <cacheField name="[Measures].[Average of Price]" caption="Average of Price" numFmtId="0" hierarchy="32" level="32767"/>
    <cacheField name="[Brain_Pharmacy].[Product Class].[Product Class]" caption="Product Class" numFmtId="0" hierarchy="9" level="1">
      <sharedItems containsSemiMixedTypes="0" containsNonDate="0" containsString="0"/>
    </cacheField>
  </cacheFields>
  <cacheHierarchies count="34">
    <cacheHierarchy uniqueName="[Brain_Pharmacy].[Distributor]" caption="Distributor" attribute="1" defaultMemberUniqueName="[Brain_Pharmacy].[Distributor].[All]" allUniqueName="[Brain_Pharmacy].[Distributor].[All]" dimensionUniqueName="[Brain_Pharmacy]" displayFolder="" count="0" memberValueDatatype="130" unbalanced="0"/>
    <cacheHierarchy uniqueName="[Brain_Pharmacy].[Customer Name]" caption="Customer Name" attribute="1" defaultMemberUniqueName="[Brain_Pharmacy].[Customer Name].[All]" allUniqueName="[Brain_Pharmacy].[Customer Name].[All]" dimensionUniqueName="[Brain_Pharmacy]" displayFolder="" count="0" memberValueDatatype="130" unbalanced="0"/>
    <cacheHierarchy uniqueName="[Brain_Pharmacy].[City]" caption="City" attribute="1" defaultMemberUniqueName="[Brain_Pharmacy].[City].[All]" allUniqueName="[Brain_Pharmacy].[City].[All]" dimensionUniqueName="[Brain_Pharmacy]" displayFolder="" count="0" memberValueDatatype="130" unbalanced="0"/>
    <cacheHierarchy uniqueName="[Brain_Pharmacy].[Country]" caption="Country" attribute="1" defaultMemberUniqueName="[Brain_Pharmacy].[Country].[All]" allUniqueName="[Brain_Pharmacy].[Country].[All]" dimensionUniqueName="[Brain_Pharmacy]" displayFolder="" count="2" memberValueDatatype="130" unbalanced="0"/>
    <cacheHierarchy uniqueName="[Brain_Pharmacy].[Latitude]" caption="Latitude" attribute="1" defaultMemberUniqueName="[Brain_Pharmacy].[Latitude].[All]" allUniqueName="[Brain_Pharmacy].[Latitude].[All]" dimensionUniqueName="[Brain_Pharmacy]" displayFolder="" count="0" memberValueDatatype="5" unbalanced="0"/>
    <cacheHierarchy uniqueName="[Brain_Pharmacy].[Longitude]" caption="Longitude" attribute="1" defaultMemberUniqueName="[Brain_Pharmacy].[Longitude].[All]" allUniqueName="[Brain_Pharmacy].[Longitude].[All]" dimensionUniqueName="[Brain_Pharmacy]" displayFolder="" count="0" memberValueDatatype="5" unbalanced="0"/>
    <cacheHierarchy uniqueName="[Brain_Pharmacy].[Channel]" caption="Channel" attribute="1" defaultMemberUniqueName="[Brain_Pharmacy].[Channel].[All]" allUniqueName="[Brain_Pharmacy].[Channel].[All]" dimensionUniqueName="[Brain_Pharmacy]" displayFolder="" count="2" memberValueDatatype="130" unbalanced="0"/>
    <cacheHierarchy uniqueName="[Brain_Pharmacy].[Sub-channel]" caption="Sub-channel" attribute="1" defaultMemberUniqueName="[Brain_Pharmacy].[Sub-channel].[All]" allUniqueName="[Brain_Pharmacy].[Sub-channel].[All]" dimensionUniqueName="[Brain_Pharmacy]" displayFolder="" count="0" memberValueDatatype="130" unbalanced="0"/>
    <cacheHierarchy uniqueName="[Brain_Pharmacy].[Product Name]" caption="Product Name" attribute="1" defaultMemberUniqueName="[Brain_Pharmacy].[Product Name].[All]" allUniqueName="[Brain_Pharmacy].[Product Name].[All]" dimensionUniqueName="[Brain_Pharmacy]" displayFolder="" count="0" memberValueDatatype="130" unbalanced="0"/>
    <cacheHierarchy uniqueName="[Brain_Pharmacy].[Product Class]" caption="Product Class" attribute="1" defaultMemberUniqueName="[Brain_Pharmacy].[Product Class].[All]" allUniqueName="[Brain_Pharmacy].[Product Class].[All]" dimensionUniqueName="[Brain_Pharmacy]" displayFolder="" count="2" memberValueDatatype="130" unbalanced="0">
      <fieldsUsage count="2">
        <fieldUsage x="-1"/>
        <fieldUsage x="1"/>
      </fieldsUsage>
    </cacheHierarchy>
    <cacheHierarchy uniqueName="[Brain_Pharmacy].[Quantity]" caption="Quantity" attribute="1" defaultMemberUniqueName="[Brain_Pharmacy].[Quantity].[All]" allUniqueName="[Brain_Pharmacy].[Quantity].[All]" dimensionUniqueName="[Brain_Pharmacy]" displayFolder="" count="0" memberValueDatatype="20" unbalanced="0"/>
    <cacheHierarchy uniqueName="[Brain_Pharmacy].[Price]" caption="Price" attribute="1" defaultMemberUniqueName="[Brain_Pharmacy].[Price].[All]" allUniqueName="[Brain_Pharmacy].[Price].[All]" dimensionUniqueName="[Brain_Pharmacy]" displayFolder="" count="0" memberValueDatatype="20" unbalanced="0"/>
    <cacheHierarchy uniqueName="[Brain_Pharmacy].[Sales]" caption="Sales" attribute="1" defaultMemberUniqueName="[Brain_Pharmacy].[Sales].[All]" allUniqueName="[Brain_Pharmacy].[Sales].[All]" dimensionUniqueName="[Brain_Pharmacy]" displayFolder="" count="0" memberValueDatatype="20" unbalanced="0"/>
    <cacheHierarchy uniqueName="[Brain_Pharmacy].[Gross Sales]" caption="Gross Sales" attribute="1" defaultMemberUniqueName="[Brain_Pharmacy].[Gross Sales].[All]" allUniqueName="[Brain_Pharmacy].[Gross Sales].[All]" dimensionUniqueName="[Brain_Pharmacy]" displayFolder="" count="0" memberValueDatatype="20" unbalanced="0"/>
    <cacheHierarchy uniqueName="[Brain_Pharmacy].[Returns (Negative Sales)]" caption="Returns (Negative Sales)" attribute="1" defaultMemberUniqueName="[Brain_Pharmacy].[Returns (Negative Sales)].[All]" allUniqueName="[Brain_Pharmacy].[Returns (Negative Sales)].[All]" dimensionUniqueName="[Brain_Pharmacy]" displayFolder="" count="0" memberValueDatatype="20" unbalanced="0"/>
    <cacheHierarchy uniqueName="[Brain_Pharmacy].[Month]" caption="Month" attribute="1" defaultMemberUniqueName="[Brain_Pharmacy].[Month].[All]" allUniqueName="[Brain_Pharmacy].[Month].[All]" dimensionUniqueName="[Brain_Pharmacy]" displayFolder="" count="0" memberValueDatatype="130" unbalanced="0"/>
    <cacheHierarchy uniqueName="[Brain_Pharmacy].[Year]" caption="Year" attribute="1" defaultMemberUniqueName="[Brain_Pharmacy].[Year].[All]" allUniqueName="[Brain_Pharmacy].[Year].[All]" dimensionUniqueName="[Brain_Pharmacy]" displayFolder="" count="2" memberValueDatatype="20" unbalanced="0"/>
    <cacheHierarchy uniqueName="[Brain_Pharmacy].[Name of Sales Rep]" caption="Name of Sales Rep" attribute="1" defaultMemberUniqueName="[Brain_Pharmacy].[Name of Sales Rep].[All]" allUniqueName="[Brain_Pharmacy].[Name of Sales Rep].[All]" dimensionUniqueName="[Brain_Pharmacy]" displayFolder="" count="0" memberValueDatatype="130" unbalanced="0"/>
    <cacheHierarchy uniqueName="[Brain_Pharmacy].[Manager]" caption="Manager" attribute="1" defaultMemberUniqueName="[Brain_Pharmacy].[Manager].[All]" allUniqueName="[Brain_Pharmacy].[Manager].[All]" dimensionUniqueName="[Brain_Pharmacy]" displayFolder="" count="0" memberValueDatatype="130" unbalanced="0"/>
    <cacheHierarchy uniqueName="[Brain_Pharmacy].[Sales Team]" caption="Sales Team" attribute="1" defaultMemberUniqueName="[Brain_Pharmacy].[Sales Team].[All]" allUniqueName="[Brain_Pharmacy].[Sales Team].[All]" dimensionUniqueName="[Brain_Pharmacy]" displayFolder="" count="0" memberValueDatatype="130" unbalanced="0"/>
    <cacheHierarchy uniqueName="[Table3].[Number of Products]" caption="Number of Products" attribute="1" defaultMemberUniqueName="[Table3].[Number of Products].[All]" allUniqueName="[Table3].[Number of Products].[All]" dimensionUniqueName="[Table3]" displayFolder="" count="0" memberValueDatatype="20" unbalanced="0"/>
    <cacheHierarchy uniqueName="[Measures].[__XL_Count Brain_Pharmacy]" caption="__XL_Count Brain_Pharmacy" measure="1" displayFolder="" measureGroup="Brain_Pharmacy"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roduct Name]" caption="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Number of Products]" caption="Sum of Number of Products" measure="1" displayFolder="" measureGroup="Table3" count="0" hidden="1">
      <extLst>
        <ext xmlns:x15="http://schemas.microsoft.com/office/spreadsheetml/2010/11/main" uri="{B97F6D7D-B522-45F9-BDA1-12C45D357490}">
          <x15:cacheHierarchy aggregatedColumn="20"/>
        </ext>
      </extLst>
    </cacheHierarchy>
    <cacheHierarchy uniqueName="[Measures].[Distinct Count of Product Name]" caption="Distinct 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Gross Sales]" caption="Sum of Gross Sales" measure="1" displayFolder="" measureGroup="Brain_Pharmacy"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Brain_Pharmacy" count="0" hidden="1">
      <extLst>
        <ext xmlns:x15="http://schemas.microsoft.com/office/spreadsheetml/2010/11/main" uri="{B97F6D7D-B522-45F9-BDA1-12C45D357490}">
          <x15:cacheHierarchy aggregatedColumn="12"/>
        </ext>
      </extLst>
    </cacheHierarchy>
    <cacheHierarchy uniqueName="[Measures].[Sum of Returns (Negative Sales)]" caption="Sum of Returns (Negative Sales)" measure="1" displayFolder="" measureGroup="Brain_Pharmacy"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Brain_Pharmacy"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Brain_Pharmacy"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Brain_Pharmacy"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Year]" caption="Sum of Year" measure="1" displayFolder="" measureGroup="Brain_Pharmacy" count="0" hidden="1">
      <extLst>
        <ext xmlns:x15="http://schemas.microsoft.com/office/spreadsheetml/2010/11/main" uri="{B97F6D7D-B522-45F9-BDA1-12C45D357490}">
          <x15:cacheHierarchy aggregatedColumn="16"/>
        </ext>
      </extLst>
    </cacheHierarchy>
  </cacheHierarchies>
  <kpis count="0"/>
  <dimensions count="3">
    <dimension name="Brain_Pharmacy" uniqueName="[Brain_Pharmacy]" caption="Brain_Pharmacy"/>
    <dimension measure="1" name="Measures" uniqueName="[Measures]" caption="Measures"/>
    <dimension name="Table3" uniqueName="[Table3]" caption="Table3"/>
  </dimensions>
  <measureGroups count="2">
    <measureGroup name="Brain_Pharmacy" caption="Brain_Pharmacy"/>
    <measureGroup name="Table3" caption="Table3"/>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883062037035" backgroundQuery="1" createdVersion="8" refreshedVersion="8" minRefreshableVersion="3" recordCount="0" supportSubquery="1" supportAdvancedDrill="1" xr:uid="{A7DA6AC3-B6D9-48DC-BC89-24B68AF44C0D}">
  <cacheSource type="external" connectionId="2"/>
  <cacheFields count="2">
    <cacheField name="[Brain_Pharmacy].[Product Class].[Product Class]" caption="Product Class" numFmtId="0" hierarchy="9" level="1">
      <sharedItems count="6">
        <s v="Analgesics"/>
        <s v="Antibiotics"/>
        <s v="Antimalarial"/>
        <s v="Antipiretics"/>
        <s v="Antiseptics"/>
        <s v="Mood Stabilizers"/>
      </sharedItems>
    </cacheField>
    <cacheField name="[Measures].[Sum of Gross Sales]" caption="Sum of Gross Sales" numFmtId="0" hierarchy="27" level="32767"/>
  </cacheFields>
  <cacheHierarchies count="34">
    <cacheHierarchy uniqueName="[Brain_Pharmacy].[Distributor]" caption="Distributor" attribute="1" defaultMemberUniqueName="[Brain_Pharmacy].[Distributor].[All]" allUniqueName="[Brain_Pharmacy].[Distributor].[All]" dimensionUniqueName="[Brain_Pharmacy]" displayFolder="" count="0" memberValueDatatype="130" unbalanced="0"/>
    <cacheHierarchy uniqueName="[Brain_Pharmacy].[Customer Name]" caption="Customer Name" attribute="1" defaultMemberUniqueName="[Brain_Pharmacy].[Customer Name].[All]" allUniqueName="[Brain_Pharmacy].[Customer Name].[All]" dimensionUniqueName="[Brain_Pharmacy]" displayFolder="" count="0" memberValueDatatype="130" unbalanced="0"/>
    <cacheHierarchy uniqueName="[Brain_Pharmacy].[City]" caption="City" attribute="1" defaultMemberUniqueName="[Brain_Pharmacy].[City].[All]" allUniqueName="[Brain_Pharmacy].[City].[All]" dimensionUniqueName="[Brain_Pharmacy]" displayFolder="" count="0" memberValueDatatype="130" unbalanced="0"/>
    <cacheHierarchy uniqueName="[Brain_Pharmacy].[Country]" caption="Country" attribute="1" defaultMemberUniqueName="[Brain_Pharmacy].[Country].[All]" allUniqueName="[Brain_Pharmacy].[Country].[All]" dimensionUniqueName="[Brain_Pharmacy]" displayFolder="" count="2" memberValueDatatype="130" unbalanced="0"/>
    <cacheHierarchy uniqueName="[Brain_Pharmacy].[Latitude]" caption="Latitude" attribute="1" defaultMemberUniqueName="[Brain_Pharmacy].[Latitude].[All]" allUniqueName="[Brain_Pharmacy].[Latitude].[All]" dimensionUniqueName="[Brain_Pharmacy]" displayFolder="" count="0" memberValueDatatype="5" unbalanced="0"/>
    <cacheHierarchy uniqueName="[Brain_Pharmacy].[Longitude]" caption="Longitude" attribute="1" defaultMemberUniqueName="[Brain_Pharmacy].[Longitude].[All]" allUniqueName="[Brain_Pharmacy].[Longitude].[All]" dimensionUniqueName="[Brain_Pharmacy]" displayFolder="" count="0" memberValueDatatype="5" unbalanced="0"/>
    <cacheHierarchy uniqueName="[Brain_Pharmacy].[Channel]" caption="Channel" attribute="1" defaultMemberUniqueName="[Brain_Pharmacy].[Channel].[All]" allUniqueName="[Brain_Pharmacy].[Channel].[All]" dimensionUniqueName="[Brain_Pharmacy]" displayFolder="" count="2" memberValueDatatype="130" unbalanced="0"/>
    <cacheHierarchy uniqueName="[Brain_Pharmacy].[Sub-channel]" caption="Sub-channel" attribute="1" defaultMemberUniqueName="[Brain_Pharmacy].[Sub-channel].[All]" allUniqueName="[Brain_Pharmacy].[Sub-channel].[All]" dimensionUniqueName="[Brain_Pharmacy]" displayFolder="" count="0" memberValueDatatype="130" unbalanced="0"/>
    <cacheHierarchy uniqueName="[Brain_Pharmacy].[Product Name]" caption="Product Name" attribute="1" defaultMemberUniqueName="[Brain_Pharmacy].[Product Name].[All]" allUniqueName="[Brain_Pharmacy].[Product Name].[All]" dimensionUniqueName="[Brain_Pharmacy]" displayFolder="" count="0" memberValueDatatype="130" unbalanced="0"/>
    <cacheHierarchy uniqueName="[Brain_Pharmacy].[Product Class]" caption="Product Class" attribute="1" defaultMemberUniqueName="[Brain_Pharmacy].[Product Class].[All]" allUniqueName="[Brain_Pharmacy].[Product Class].[All]" dimensionUniqueName="[Brain_Pharmacy]" displayFolder="" count="2" memberValueDatatype="130" unbalanced="0">
      <fieldsUsage count="2">
        <fieldUsage x="-1"/>
        <fieldUsage x="0"/>
      </fieldsUsage>
    </cacheHierarchy>
    <cacheHierarchy uniqueName="[Brain_Pharmacy].[Quantity]" caption="Quantity" attribute="1" defaultMemberUniqueName="[Brain_Pharmacy].[Quantity].[All]" allUniqueName="[Brain_Pharmacy].[Quantity].[All]" dimensionUniqueName="[Brain_Pharmacy]" displayFolder="" count="0" memberValueDatatype="20" unbalanced="0"/>
    <cacheHierarchy uniqueName="[Brain_Pharmacy].[Price]" caption="Price" attribute="1" defaultMemberUniqueName="[Brain_Pharmacy].[Price].[All]" allUniqueName="[Brain_Pharmacy].[Price].[All]" dimensionUniqueName="[Brain_Pharmacy]" displayFolder="" count="0" memberValueDatatype="20" unbalanced="0"/>
    <cacheHierarchy uniqueName="[Brain_Pharmacy].[Sales]" caption="Sales" attribute="1" defaultMemberUniqueName="[Brain_Pharmacy].[Sales].[All]" allUniqueName="[Brain_Pharmacy].[Sales].[All]" dimensionUniqueName="[Brain_Pharmacy]" displayFolder="" count="0" memberValueDatatype="20" unbalanced="0"/>
    <cacheHierarchy uniqueName="[Brain_Pharmacy].[Gross Sales]" caption="Gross Sales" attribute="1" defaultMemberUniqueName="[Brain_Pharmacy].[Gross Sales].[All]" allUniqueName="[Brain_Pharmacy].[Gross Sales].[All]" dimensionUniqueName="[Brain_Pharmacy]" displayFolder="" count="0" memberValueDatatype="20" unbalanced="0"/>
    <cacheHierarchy uniqueName="[Brain_Pharmacy].[Returns (Negative Sales)]" caption="Returns (Negative Sales)" attribute="1" defaultMemberUniqueName="[Brain_Pharmacy].[Returns (Negative Sales)].[All]" allUniqueName="[Brain_Pharmacy].[Returns (Negative Sales)].[All]" dimensionUniqueName="[Brain_Pharmacy]" displayFolder="" count="0" memberValueDatatype="20" unbalanced="0"/>
    <cacheHierarchy uniqueName="[Brain_Pharmacy].[Month]" caption="Month" attribute="1" defaultMemberUniqueName="[Brain_Pharmacy].[Month].[All]" allUniqueName="[Brain_Pharmacy].[Month].[All]" dimensionUniqueName="[Brain_Pharmacy]" displayFolder="" count="0" memberValueDatatype="130" unbalanced="0"/>
    <cacheHierarchy uniqueName="[Brain_Pharmacy].[Year]" caption="Year" attribute="1" defaultMemberUniqueName="[Brain_Pharmacy].[Year].[All]" allUniqueName="[Brain_Pharmacy].[Year].[All]" dimensionUniqueName="[Brain_Pharmacy]" displayFolder="" count="2" memberValueDatatype="20" unbalanced="0"/>
    <cacheHierarchy uniqueName="[Brain_Pharmacy].[Name of Sales Rep]" caption="Name of Sales Rep" attribute="1" defaultMemberUniqueName="[Brain_Pharmacy].[Name of Sales Rep].[All]" allUniqueName="[Brain_Pharmacy].[Name of Sales Rep].[All]" dimensionUniqueName="[Brain_Pharmacy]" displayFolder="" count="0" memberValueDatatype="130" unbalanced="0"/>
    <cacheHierarchy uniqueName="[Brain_Pharmacy].[Manager]" caption="Manager" attribute="1" defaultMemberUniqueName="[Brain_Pharmacy].[Manager].[All]" allUniqueName="[Brain_Pharmacy].[Manager].[All]" dimensionUniqueName="[Brain_Pharmacy]" displayFolder="" count="0" memberValueDatatype="130" unbalanced="0"/>
    <cacheHierarchy uniqueName="[Brain_Pharmacy].[Sales Team]" caption="Sales Team" attribute="1" defaultMemberUniqueName="[Brain_Pharmacy].[Sales Team].[All]" allUniqueName="[Brain_Pharmacy].[Sales Team].[All]" dimensionUniqueName="[Brain_Pharmacy]" displayFolder="" count="0" memberValueDatatype="130" unbalanced="0"/>
    <cacheHierarchy uniqueName="[Table3].[Number of Products]" caption="Number of Products" attribute="1" defaultMemberUniqueName="[Table3].[Number of Products].[All]" allUniqueName="[Table3].[Number of Products].[All]" dimensionUniqueName="[Table3]" displayFolder="" count="0" memberValueDatatype="20" unbalanced="0"/>
    <cacheHierarchy uniqueName="[Measures].[__XL_Count Brain_Pharmacy]" caption="__XL_Count Brain_Pharmacy" measure="1" displayFolder="" measureGroup="Brain_Pharmacy"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roduct Name]" caption="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Number of Products]" caption="Sum of Number of Products" measure="1" displayFolder="" measureGroup="Table3" count="0" hidden="1">
      <extLst>
        <ext xmlns:x15="http://schemas.microsoft.com/office/spreadsheetml/2010/11/main" uri="{B97F6D7D-B522-45F9-BDA1-12C45D357490}">
          <x15:cacheHierarchy aggregatedColumn="20"/>
        </ext>
      </extLst>
    </cacheHierarchy>
    <cacheHierarchy uniqueName="[Measures].[Distinct Count of Product Name]" caption="Distinct 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Gross Sales]" caption="Sum of Gross Sales" measure="1" displayFolder="" measureGroup="Brain_Pharmacy"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Sales]" caption="Sum of Sales" measure="1" displayFolder="" measureGroup="Brain_Pharmacy" count="0" hidden="1">
      <extLst>
        <ext xmlns:x15="http://schemas.microsoft.com/office/spreadsheetml/2010/11/main" uri="{B97F6D7D-B522-45F9-BDA1-12C45D357490}">
          <x15:cacheHierarchy aggregatedColumn="12"/>
        </ext>
      </extLst>
    </cacheHierarchy>
    <cacheHierarchy uniqueName="[Measures].[Sum of Returns (Negative Sales)]" caption="Sum of Returns (Negative Sales)" measure="1" displayFolder="" measureGroup="Brain_Pharmacy"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Brain_Pharmacy"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Brain_Pharmacy"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Brain_Pharmacy"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Brain_Pharmacy" count="0" hidden="1">
      <extLst>
        <ext xmlns:x15="http://schemas.microsoft.com/office/spreadsheetml/2010/11/main" uri="{B97F6D7D-B522-45F9-BDA1-12C45D357490}">
          <x15:cacheHierarchy aggregatedColumn="16"/>
        </ext>
      </extLst>
    </cacheHierarchy>
  </cacheHierarchies>
  <kpis count="0"/>
  <dimensions count="3">
    <dimension name="Brain_Pharmacy" uniqueName="[Brain_Pharmacy]" caption="Brain_Pharmacy"/>
    <dimension measure="1" name="Measures" uniqueName="[Measures]" caption="Measures"/>
    <dimension name="Table3" uniqueName="[Table3]" caption="Table3"/>
  </dimensions>
  <measureGroups count="2">
    <measureGroup name="Brain_Pharmacy" caption="Brain_Pharmacy"/>
    <measureGroup name="Table3" caption="Table3"/>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883062615743" backgroundQuery="1" createdVersion="8" refreshedVersion="8" minRefreshableVersion="3" recordCount="0" supportSubquery="1" supportAdvancedDrill="1" xr:uid="{BC41EE33-4C5E-4759-A1ED-0346A83FB1DF}">
  <cacheSource type="external" connectionId="2"/>
  <cacheFields count="3">
    <cacheField name="[Brain_Pharmacy].[Product Name].[Product Name]" caption="Product Name" numFmtId="0" hierarchy="8" level="1">
      <sharedItems count="2">
        <s v="Immurenol Temarate"/>
        <s v="Raparidol"/>
      </sharedItems>
    </cacheField>
    <cacheField name="[Measures].[Sum of Returns (Negative Sales)]" caption="Sum of Returns (Negative Sales)" numFmtId="0" hierarchy="29" level="32767"/>
    <cacheField name="[Brain_Pharmacy].[Product Class].[Product Class]" caption="Product Class" numFmtId="0" hierarchy="9" level="1">
      <sharedItems containsSemiMixedTypes="0" containsNonDate="0" containsString="0"/>
    </cacheField>
  </cacheFields>
  <cacheHierarchies count="34">
    <cacheHierarchy uniqueName="[Brain_Pharmacy].[Distributor]" caption="Distributor" attribute="1" defaultMemberUniqueName="[Brain_Pharmacy].[Distributor].[All]" allUniqueName="[Brain_Pharmacy].[Distributor].[All]" dimensionUniqueName="[Brain_Pharmacy]" displayFolder="" count="0" memberValueDatatype="130" unbalanced="0"/>
    <cacheHierarchy uniqueName="[Brain_Pharmacy].[Customer Name]" caption="Customer Name" attribute="1" defaultMemberUniqueName="[Brain_Pharmacy].[Customer Name].[All]" allUniqueName="[Brain_Pharmacy].[Customer Name].[All]" dimensionUniqueName="[Brain_Pharmacy]" displayFolder="" count="0" memberValueDatatype="130" unbalanced="0"/>
    <cacheHierarchy uniqueName="[Brain_Pharmacy].[City]" caption="City" attribute="1" defaultMemberUniqueName="[Brain_Pharmacy].[City].[All]" allUniqueName="[Brain_Pharmacy].[City].[All]" dimensionUniqueName="[Brain_Pharmacy]" displayFolder="" count="0" memberValueDatatype="130" unbalanced="0"/>
    <cacheHierarchy uniqueName="[Brain_Pharmacy].[Country]" caption="Country" attribute="1" defaultMemberUniqueName="[Brain_Pharmacy].[Country].[All]" allUniqueName="[Brain_Pharmacy].[Country].[All]" dimensionUniqueName="[Brain_Pharmacy]" displayFolder="" count="2" memberValueDatatype="130" unbalanced="0"/>
    <cacheHierarchy uniqueName="[Brain_Pharmacy].[Latitude]" caption="Latitude" attribute="1" defaultMemberUniqueName="[Brain_Pharmacy].[Latitude].[All]" allUniqueName="[Brain_Pharmacy].[Latitude].[All]" dimensionUniqueName="[Brain_Pharmacy]" displayFolder="" count="0" memberValueDatatype="5" unbalanced="0"/>
    <cacheHierarchy uniqueName="[Brain_Pharmacy].[Longitude]" caption="Longitude" attribute="1" defaultMemberUniqueName="[Brain_Pharmacy].[Longitude].[All]" allUniqueName="[Brain_Pharmacy].[Longitude].[All]" dimensionUniqueName="[Brain_Pharmacy]" displayFolder="" count="0" memberValueDatatype="5" unbalanced="0"/>
    <cacheHierarchy uniqueName="[Brain_Pharmacy].[Channel]" caption="Channel" attribute="1" defaultMemberUniqueName="[Brain_Pharmacy].[Channel].[All]" allUniqueName="[Brain_Pharmacy].[Channel].[All]" dimensionUniqueName="[Brain_Pharmacy]" displayFolder="" count="2" memberValueDatatype="130" unbalanced="0"/>
    <cacheHierarchy uniqueName="[Brain_Pharmacy].[Sub-channel]" caption="Sub-channel" attribute="1" defaultMemberUniqueName="[Brain_Pharmacy].[Sub-channel].[All]" allUniqueName="[Brain_Pharmacy].[Sub-channel].[All]" dimensionUniqueName="[Brain_Pharmacy]" displayFolder="" count="0" memberValueDatatype="130" unbalanced="0"/>
    <cacheHierarchy uniqueName="[Brain_Pharmacy].[Product Name]" caption="Product Name" attribute="1" defaultMemberUniqueName="[Brain_Pharmacy].[Product Name].[All]" allUniqueName="[Brain_Pharmacy].[Product Name].[All]" dimensionUniqueName="[Brain_Pharmacy]" displayFolder="" count="2" memberValueDatatype="130" unbalanced="0">
      <fieldsUsage count="2">
        <fieldUsage x="-1"/>
        <fieldUsage x="0"/>
      </fieldsUsage>
    </cacheHierarchy>
    <cacheHierarchy uniqueName="[Brain_Pharmacy].[Product Class]" caption="Product Class" attribute="1" defaultMemberUniqueName="[Brain_Pharmacy].[Product Class].[All]" allUniqueName="[Brain_Pharmacy].[Product Class].[All]" dimensionUniqueName="[Brain_Pharmacy]" displayFolder="" count="2" memberValueDatatype="130" unbalanced="0">
      <fieldsUsage count="2">
        <fieldUsage x="-1"/>
        <fieldUsage x="2"/>
      </fieldsUsage>
    </cacheHierarchy>
    <cacheHierarchy uniqueName="[Brain_Pharmacy].[Quantity]" caption="Quantity" attribute="1" defaultMemberUniqueName="[Brain_Pharmacy].[Quantity].[All]" allUniqueName="[Brain_Pharmacy].[Quantity].[All]" dimensionUniqueName="[Brain_Pharmacy]" displayFolder="" count="0" memberValueDatatype="20" unbalanced="0"/>
    <cacheHierarchy uniqueName="[Brain_Pharmacy].[Price]" caption="Price" attribute="1" defaultMemberUniqueName="[Brain_Pharmacy].[Price].[All]" allUniqueName="[Brain_Pharmacy].[Price].[All]" dimensionUniqueName="[Brain_Pharmacy]" displayFolder="" count="0" memberValueDatatype="20" unbalanced="0"/>
    <cacheHierarchy uniqueName="[Brain_Pharmacy].[Sales]" caption="Sales" attribute="1" defaultMemberUniqueName="[Brain_Pharmacy].[Sales].[All]" allUniqueName="[Brain_Pharmacy].[Sales].[All]" dimensionUniqueName="[Brain_Pharmacy]" displayFolder="" count="0" memberValueDatatype="20" unbalanced="0"/>
    <cacheHierarchy uniqueName="[Brain_Pharmacy].[Gross Sales]" caption="Gross Sales" attribute="1" defaultMemberUniqueName="[Brain_Pharmacy].[Gross Sales].[All]" allUniqueName="[Brain_Pharmacy].[Gross Sales].[All]" dimensionUniqueName="[Brain_Pharmacy]" displayFolder="" count="0" memberValueDatatype="20" unbalanced="0"/>
    <cacheHierarchy uniqueName="[Brain_Pharmacy].[Returns (Negative Sales)]" caption="Returns (Negative Sales)" attribute="1" defaultMemberUniqueName="[Brain_Pharmacy].[Returns (Negative Sales)].[All]" allUniqueName="[Brain_Pharmacy].[Returns (Negative Sales)].[All]" dimensionUniqueName="[Brain_Pharmacy]" displayFolder="" count="0" memberValueDatatype="20" unbalanced="0"/>
    <cacheHierarchy uniqueName="[Brain_Pharmacy].[Month]" caption="Month" attribute="1" defaultMemberUniqueName="[Brain_Pharmacy].[Month].[All]" allUniqueName="[Brain_Pharmacy].[Month].[All]" dimensionUniqueName="[Brain_Pharmacy]" displayFolder="" count="0" memberValueDatatype="130" unbalanced="0"/>
    <cacheHierarchy uniqueName="[Brain_Pharmacy].[Year]" caption="Year" attribute="1" defaultMemberUniqueName="[Brain_Pharmacy].[Year].[All]" allUniqueName="[Brain_Pharmacy].[Year].[All]" dimensionUniqueName="[Brain_Pharmacy]" displayFolder="" count="2" memberValueDatatype="20" unbalanced="0"/>
    <cacheHierarchy uniqueName="[Brain_Pharmacy].[Name of Sales Rep]" caption="Name of Sales Rep" attribute="1" defaultMemberUniqueName="[Brain_Pharmacy].[Name of Sales Rep].[All]" allUniqueName="[Brain_Pharmacy].[Name of Sales Rep].[All]" dimensionUniqueName="[Brain_Pharmacy]" displayFolder="" count="0" memberValueDatatype="130" unbalanced="0"/>
    <cacheHierarchy uniqueName="[Brain_Pharmacy].[Manager]" caption="Manager" attribute="1" defaultMemberUniqueName="[Brain_Pharmacy].[Manager].[All]" allUniqueName="[Brain_Pharmacy].[Manager].[All]" dimensionUniqueName="[Brain_Pharmacy]" displayFolder="" count="0" memberValueDatatype="130" unbalanced="0"/>
    <cacheHierarchy uniqueName="[Brain_Pharmacy].[Sales Team]" caption="Sales Team" attribute="1" defaultMemberUniqueName="[Brain_Pharmacy].[Sales Team].[All]" allUniqueName="[Brain_Pharmacy].[Sales Team].[All]" dimensionUniqueName="[Brain_Pharmacy]" displayFolder="" count="0" memberValueDatatype="130" unbalanced="0"/>
    <cacheHierarchy uniqueName="[Table3].[Number of Products]" caption="Number of Products" attribute="1" defaultMemberUniqueName="[Table3].[Number of Products].[All]" allUniqueName="[Table3].[Number of Products].[All]" dimensionUniqueName="[Table3]" displayFolder="" count="0" memberValueDatatype="20" unbalanced="0"/>
    <cacheHierarchy uniqueName="[Measures].[__XL_Count Brain_Pharmacy]" caption="__XL_Count Brain_Pharmacy" measure="1" displayFolder="" measureGroup="Brain_Pharmacy"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roduct Name]" caption="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Number of Products]" caption="Sum of Number of Products" measure="1" displayFolder="" measureGroup="Table3" count="0" hidden="1">
      <extLst>
        <ext xmlns:x15="http://schemas.microsoft.com/office/spreadsheetml/2010/11/main" uri="{B97F6D7D-B522-45F9-BDA1-12C45D357490}">
          <x15:cacheHierarchy aggregatedColumn="20"/>
        </ext>
      </extLst>
    </cacheHierarchy>
    <cacheHierarchy uniqueName="[Measures].[Distinct Count of Product Name]" caption="Distinct 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Gross Sales]" caption="Sum of Gross Sales" measure="1" displayFolder="" measureGroup="Brain_Pharmacy"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Brain_Pharmacy" count="0" hidden="1">
      <extLst>
        <ext xmlns:x15="http://schemas.microsoft.com/office/spreadsheetml/2010/11/main" uri="{B97F6D7D-B522-45F9-BDA1-12C45D357490}">
          <x15:cacheHierarchy aggregatedColumn="12"/>
        </ext>
      </extLst>
    </cacheHierarchy>
    <cacheHierarchy uniqueName="[Measures].[Sum of Returns (Negative Sales)]" caption="Sum of Returns (Negative Sales)" measure="1" displayFolder="" measureGroup="Brain_Pharmacy"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Brain_Pharmacy"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Brain_Pharmacy"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Brain_Pharmacy"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Brain_Pharmacy" count="0" hidden="1">
      <extLst>
        <ext xmlns:x15="http://schemas.microsoft.com/office/spreadsheetml/2010/11/main" uri="{B97F6D7D-B522-45F9-BDA1-12C45D357490}">
          <x15:cacheHierarchy aggregatedColumn="16"/>
        </ext>
      </extLst>
    </cacheHierarchy>
  </cacheHierarchies>
  <kpis count="0"/>
  <dimensions count="3">
    <dimension name="Brain_Pharmacy" uniqueName="[Brain_Pharmacy]" caption="Brain_Pharmacy"/>
    <dimension measure="1" name="Measures" uniqueName="[Measures]" caption="Measures"/>
    <dimension name="Table3" uniqueName="[Table3]" caption="Table3"/>
  </dimensions>
  <measureGroups count="2">
    <measureGroup name="Brain_Pharmacy" caption="Brain_Pharmacy"/>
    <measureGroup name="Table3" caption="Table3"/>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883063078705" backgroundQuery="1" createdVersion="8" refreshedVersion="8" minRefreshableVersion="3" recordCount="0" supportSubquery="1" supportAdvancedDrill="1" xr:uid="{7B5400E2-57D0-457C-949D-4D87E767A57C}">
  <cacheSource type="external" connectionId="2"/>
  <cacheFields count="4">
    <cacheField name="[Brain_Pharmacy].[Product Name].[Product Name]" caption="Product Name" numFmtId="0" hierarchy="8" level="1">
      <sharedItems count="2">
        <s v="Immurenol Temarate"/>
        <s v="Raparidol"/>
      </sharedItems>
    </cacheField>
    <cacheField name="[Measures].[Sum of Gross Sales]" caption="Sum of Gross Sales" numFmtId="0" hierarchy="27" level="32767"/>
    <cacheField name="[Brain_Pharmacy].[Year].[Year]" caption="Year" numFmtId="0" hierarchy="16"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Brain_Pharmacy].[Year].&amp;[2017]"/>
            <x15:cachedUniqueName index="1" name="[Brain_Pharmacy].[Year].&amp;[2018]"/>
          </x15:cachedUniqueNames>
        </ext>
      </extLst>
    </cacheField>
    <cacheField name="[Brain_Pharmacy].[Product Class].[Product Class]" caption="Product Class" numFmtId="0" hierarchy="9" level="1">
      <sharedItems containsSemiMixedTypes="0" containsNonDate="0" containsString="0"/>
    </cacheField>
  </cacheFields>
  <cacheHierarchies count="34">
    <cacheHierarchy uniqueName="[Brain_Pharmacy].[Distributor]" caption="Distributor" attribute="1" defaultMemberUniqueName="[Brain_Pharmacy].[Distributor].[All]" allUniqueName="[Brain_Pharmacy].[Distributor].[All]" dimensionUniqueName="[Brain_Pharmacy]" displayFolder="" count="0" memberValueDatatype="130" unbalanced="0"/>
    <cacheHierarchy uniqueName="[Brain_Pharmacy].[Customer Name]" caption="Customer Name" attribute="1" defaultMemberUniqueName="[Brain_Pharmacy].[Customer Name].[All]" allUniqueName="[Brain_Pharmacy].[Customer Name].[All]" dimensionUniqueName="[Brain_Pharmacy]" displayFolder="" count="0" memberValueDatatype="130" unbalanced="0"/>
    <cacheHierarchy uniqueName="[Brain_Pharmacy].[City]" caption="City" attribute="1" defaultMemberUniqueName="[Brain_Pharmacy].[City].[All]" allUniqueName="[Brain_Pharmacy].[City].[All]" dimensionUniqueName="[Brain_Pharmacy]" displayFolder="" count="0" memberValueDatatype="130" unbalanced="0"/>
    <cacheHierarchy uniqueName="[Brain_Pharmacy].[Country]" caption="Country" attribute="1" defaultMemberUniqueName="[Brain_Pharmacy].[Country].[All]" allUniqueName="[Brain_Pharmacy].[Country].[All]" dimensionUniqueName="[Brain_Pharmacy]" displayFolder="" count="2" memberValueDatatype="130" unbalanced="0"/>
    <cacheHierarchy uniqueName="[Brain_Pharmacy].[Latitude]" caption="Latitude" attribute="1" defaultMemberUniqueName="[Brain_Pharmacy].[Latitude].[All]" allUniqueName="[Brain_Pharmacy].[Latitude].[All]" dimensionUniqueName="[Brain_Pharmacy]" displayFolder="" count="0" memberValueDatatype="5" unbalanced="0"/>
    <cacheHierarchy uniqueName="[Brain_Pharmacy].[Longitude]" caption="Longitude" attribute="1" defaultMemberUniqueName="[Brain_Pharmacy].[Longitude].[All]" allUniqueName="[Brain_Pharmacy].[Longitude].[All]" dimensionUniqueName="[Brain_Pharmacy]" displayFolder="" count="0" memberValueDatatype="5" unbalanced="0"/>
    <cacheHierarchy uniqueName="[Brain_Pharmacy].[Channel]" caption="Channel" attribute="1" defaultMemberUniqueName="[Brain_Pharmacy].[Channel].[All]" allUniqueName="[Brain_Pharmacy].[Channel].[All]" dimensionUniqueName="[Brain_Pharmacy]" displayFolder="" count="2" memberValueDatatype="130" unbalanced="0"/>
    <cacheHierarchy uniqueName="[Brain_Pharmacy].[Sub-channel]" caption="Sub-channel" attribute="1" defaultMemberUniqueName="[Brain_Pharmacy].[Sub-channel].[All]" allUniqueName="[Brain_Pharmacy].[Sub-channel].[All]" dimensionUniqueName="[Brain_Pharmacy]" displayFolder="" count="0" memberValueDatatype="130" unbalanced="0"/>
    <cacheHierarchy uniqueName="[Brain_Pharmacy].[Product Name]" caption="Product Name" attribute="1" defaultMemberUniqueName="[Brain_Pharmacy].[Product Name].[All]" allUniqueName="[Brain_Pharmacy].[Product Name].[All]" dimensionUniqueName="[Brain_Pharmacy]" displayFolder="" count="2" memberValueDatatype="130" unbalanced="0">
      <fieldsUsage count="2">
        <fieldUsage x="-1"/>
        <fieldUsage x="0"/>
      </fieldsUsage>
    </cacheHierarchy>
    <cacheHierarchy uniqueName="[Brain_Pharmacy].[Product Class]" caption="Product Class" attribute="1" defaultMemberUniqueName="[Brain_Pharmacy].[Product Class].[All]" allUniqueName="[Brain_Pharmacy].[Product Class].[All]" dimensionUniqueName="[Brain_Pharmacy]" displayFolder="" count="2" memberValueDatatype="130" unbalanced="0">
      <fieldsUsage count="2">
        <fieldUsage x="-1"/>
        <fieldUsage x="3"/>
      </fieldsUsage>
    </cacheHierarchy>
    <cacheHierarchy uniqueName="[Brain_Pharmacy].[Quantity]" caption="Quantity" attribute="1" defaultMemberUniqueName="[Brain_Pharmacy].[Quantity].[All]" allUniqueName="[Brain_Pharmacy].[Quantity].[All]" dimensionUniqueName="[Brain_Pharmacy]" displayFolder="" count="0" memberValueDatatype="20" unbalanced="0"/>
    <cacheHierarchy uniqueName="[Brain_Pharmacy].[Price]" caption="Price" attribute="1" defaultMemberUniqueName="[Brain_Pharmacy].[Price].[All]" allUniqueName="[Brain_Pharmacy].[Price].[All]" dimensionUniqueName="[Brain_Pharmacy]" displayFolder="" count="0" memberValueDatatype="20" unbalanced="0"/>
    <cacheHierarchy uniqueName="[Brain_Pharmacy].[Sales]" caption="Sales" attribute="1" defaultMemberUniqueName="[Brain_Pharmacy].[Sales].[All]" allUniqueName="[Brain_Pharmacy].[Sales].[All]" dimensionUniqueName="[Brain_Pharmacy]" displayFolder="" count="0" memberValueDatatype="20" unbalanced="0"/>
    <cacheHierarchy uniqueName="[Brain_Pharmacy].[Gross Sales]" caption="Gross Sales" attribute="1" defaultMemberUniqueName="[Brain_Pharmacy].[Gross Sales].[All]" allUniqueName="[Brain_Pharmacy].[Gross Sales].[All]" dimensionUniqueName="[Brain_Pharmacy]" displayFolder="" count="0" memberValueDatatype="20" unbalanced="0"/>
    <cacheHierarchy uniqueName="[Brain_Pharmacy].[Returns (Negative Sales)]" caption="Returns (Negative Sales)" attribute="1" defaultMemberUniqueName="[Brain_Pharmacy].[Returns (Negative Sales)].[All]" allUniqueName="[Brain_Pharmacy].[Returns (Negative Sales)].[All]" dimensionUniqueName="[Brain_Pharmacy]" displayFolder="" count="0" memberValueDatatype="20" unbalanced="0"/>
    <cacheHierarchy uniqueName="[Brain_Pharmacy].[Month]" caption="Month" attribute="1" defaultMemberUniqueName="[Brain_Pharmacy].[Month].[All]" allUniqueName="[Brain_Pharmacy].[Month].[All]" dimensionUniqueName="[Brain_Pharmacy]" displayFolder="" count="0" memberValueDatatype="130" unbalanced="0"/>
    <cacheHierarchy uniqueName="[Brain_Pharmacy].[Year]" caption="Year" attribute="1" defaultMemberUniqueName="[Brain_Pharmacy].[Year].[All]" allUniqueName="[Brain_Pharmacy].[Year].[All]" dimensionUniqueName="[Brain_Pharmacy]" displayFolder="" count="2" memberValueDatatype="20" unbalanced="0">
      <fieldsUsage count="2">
        <fieldUsage x="-1"/>
        <fieldUsage x="2"/>
      </fieldsUsage>
    </cacheHierarchy>
    <cacheHierarchy uniqueName="[Brain_Pharmacy].[Name of Sales Rep]" caption="Name of Sales Rep" attribute="1" defaultMemberUniqueName="[Brain_Pharmacy].[Name of Sales Rep].[All]" allUniqueName="[Brain_Pharmacy].[Name of Sales Rep].[All]" dimensionUniqueName="[Brain_Pharmacy]" displayFolder="" count="0" memberValueDatatype="130" unbalanced="0"/>
    <cacheHierarchy uniqueName="[Brain_Pharmacy].[Manager]" caption="Manager" attribute="1" defaultMemberUniqueName="[Brain_Pharmacy].[Manager].[All]" allUniqueName="[Brain_Pharmacy].[Manager].[All]" dimensionUniqueName="[Brain_Pharmacy]" displayFolder="" count="0" memberValueDatatype="130" unbalanced="0"/>
    <cacheHierarchy uniqueName="[Brain_Pharmacy].[Sales Team]" caption="Sales Team" attribute="1" defaultMemberUniqueName="[Brain_Pharmacy].[Sales Team].[All]" allUniqueName="[Brain_Pharmacy].[Sales Team].[All]" dimensionUniqueName="[Brain_Pharmacy]" displayFolder="" count="0" memberValueDatatype="130" unbalanced="0"/>
    <cacheHierarchy uniqueName="[Table3].[Number of Products]" caption="Number of Products" attribute="1" defaultMemberUniqueName="[Table3].[Number of Products].[All]" allUniqueName="[Table3].[Number of Products].[All]" dimensionUniqueName="[Table3]" displayFolder="" count="0" memberValueDatatype="20" unbalanced="0"/>
    <cacheHierarchy uniqueName="[Measures].[__XL_Count Brain_Pharmacy]" caption="__XL_Count Brain_Pharmacy" measure="1" displayFolder="" measureGroup="Brain_Pharmacy"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roduct Name]" caption="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Number of Products]" caption="Sum of Number of Products" measure="1" displayFolder="" measureGroup="Table3" count="0" hidden="1">
      <extLst>
        <ext xmlns:x15="http://schemas.microsoft.com/office/spreadsheetml/2010/11/main" uri="{B97F6D7D-B522-45F9-BDA1-12C45D357490}">
          <x15:cacheHierarchy aggregatedColumn="20"/>
        </ext>
      </extLst>
    </cacheHierarchy>
    <cacheHierarchy uniqueName="[Measures].[Distinct Count of Product Name]" caption="Distinct 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Gross Sales]" caption="Sum of Gross Sales" measure="1" displayFolder="" measureGroup="Brain_Pharmacy"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Sales]" caption="Sum of Sales" measure="1" displayFolder="" measureGroup="Brain_Pharmacy" count="0" hidden="1">
      <extLst>
        <ext xmlns:x15="http://schemas.microsoft.com/office/spreadsheetml/2010/11/main" uri="{B97F6D7D-B522-45F9-BDA1-12C45D357490}">
          <x15:cacheHierarchy aggregatedColumn="12"/>
        </ext>
      </extLst>
    </cacheHierarchy>
    <cacheHierarchy uniqueName="[Measures].[Sum of Returns (Negative Sales)]" caption="Sum of Returns (Negative Sales)" measure="1" displayFolder="" measureGroup="Brain_Pharmacy"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Brain_Pharmacy"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Brain_Pharmacy"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Brain_Pharmacy"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Brain_Pharmacy" count="0" hidden="1">
      <extLst>
        <ext xmlns:x15="http://schemas.microsoft.com/office/spreadsheetml/2010/11/main" uri="{B97F6D7D-B522-45F9-BDA1-12C45D357490}">
          <x15:cacheHierarchy aggregatedColumn="16"/>
        </ext>
      </extLst>
    </cacheHierarchy>
  </cacheHierarchies>
  <kpis count="0"/>
  <dimensions count="3">
    <dimension name="Brain_Pharmacy" uniqueName="[Brain_Pharmacy]" caption="Brain_Pharmacy"/>
    <dimension measure="1" name="Measures" uniqueName="[Measures]" caption="Measures"/>
    <dimension name="Table3" uniqueName="[Table3]" caption="Table3"/>
  </dimensions>
  <measureGroups count="2">
    <measureGroup name="Brain_Pharmacy" caption="Brain_Pharmacy"/>
    <measureGroup name="Table3" caption="Table3"/>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883063657406" backgroundQuery="1" createdVersion="8" refreshedVersion="8" minRefreshableVersion="3" recordCount="0" supportSubquery="1" supportAdvancedDrill="1" xr:uid="{3FEE03C5-9081-4233-9872-D589ACF9EE7A}">
  <cacheSource type="external" connectionId="2"/>
  <cacheFields count="4">
    <cacheField name="[Brain_Pharmacy].[Product Name].[Product Name]" caption="Product Name" numFmtId="0" hierarchy="8" level="1">
      <sharedItems count="2">
        <s v="Immurenol Temarate"/>
        <s v="Raparidol"/>
      </sharedItems>
    </cacheField>
    <cacheField name="[Measures].[Sum of Gross Sales]" caption="Sum of Gross Sales" numFmtId="0" hierarchy="27" level="32767"/>
    <cacheField name="[Brain_Pharmacy].[Country].[Country]" caption="Country" numFmtId="0" hierarchy="3" level="1">
      <sharedItems count="2">
        <s v="Germany"/>
        <s v="Poland"/>
      </sharedItems>
    </cacheField>
    <cacheField name="[Brain_Pharmacy].[Product Class].[Product Class]" caption="Product Class" numFmtId="0" hierarchy="9" level="1">
      <sharedItems containsSemiMixedTypes="0" containsNonDate="0" containsString="0"/>
    </cacheField>
  </cacheFields>
  <cacheHierarchies count="34">
    <cacheHierarchy uniqueName="[Brain_Pharmacy].[Distributor]" caption="Distributor" attribute="1" defaultMemberUniqueName="[Brain_Pharmacy].[Distributor].[All]" allUniqueName="[Brain_Pharmacy].[Distributor].[All]" dimensionUniqueName="[Brain_Pharmacy]" displayFolder="" count="0" memberValueDatatype="130" unbalanced="0"/>
    <cacheHierarchy uniqueName="[Brain_Pharmacy].[Customer Name]" caption="Customer Name" attribute="1" defaultMemberUniqueName="[Brain_Pharmacy].[Customer Name].[All]" allUniqueName="[Brain_Pharmacy].[Customer Name].[All]" dimensionUniqueName="[Brain_Pharmacy]" displayFolder="" count="0" memberValueDatatype="130" unbalanced="0"/>
    <cacheHierarchy uniqueName="[Brain_Pharmacy].[City]" caption="City" attribute="1" defaultMemberUniqueName="[Brain_Pharmacy].[City].[All]" allUniqueName="[Brain_Pharmacy].[City].[All]" dimensionUniqueName="[Brain_Pharmacy]" displayFolder="" count="0" memberValueDatatype="130" unbalanced="0"/>
    <cacheHierarchy uniqueName="[Brain_Pharmacy].[Country]" caption="Country" attribute="1" defaultMemberUniqueName="[Brain_Pharmacy].[Country].[All]" allUniqueName="[Brain_Pharmacy].[Country].[All]" dimensionUniqueName="[Brain_Pharmacy]" displayFolder="" count="2" memberValueDatatype="130" unbalanced="0">
      <fieldsUsage count="2">
        <fieldUsage x="-1"/>
        <fieldUsage x="2"/>
      </fieldsUsage>
    </cacheHierarchy>
    <cacheHierarchy uniqueName="[Brain_Pharmacy].[Latitude]" caption="Latitude" attribute="1" defaultMemberUniqueName="[Brain_Pharmacy].[Latitude].[All]" allUniqueName="[Brain_Pharmacy].[Latitude].[All]" dimensionUniqueName="[Brain_Pharmacy]" displayFolder="" count="0" memberValueDatatype="5" unbalanced="0"/>
    <cacheHierarchy uniqueName="[Brain_Pharmacy].[Longitude]" caption="Longitude" attribute="1" defaultMemberUniqueName="[Brain_Pharmacy].[Longitude].[All]" allUniqueName="[Brain_Pharmacy].[Longitude].[All]" dimensionUniqueName="[Brain_Pharmacy]" displayFolder="" count="0" memberValueDatatype="5" unbalanced="0"/>
    <cacheHierarchy uniqueName="[Brain_Pharmacy].[Channel]" caption="Channel" attribute="1" defaultMemberUniqueName="[Brain_Pharmacy].[Channel].[All]" allUniqueName="[Brain_Pharmacy].[Channel].[All]" dimensionUniqueName="[Brain_Pharmacy]" displayFolder="" count="2" memberValueDatatype="130" unbalanced="0"/>
    <cacheHierarchy uniqueName="[Brain_Pharmacy].[Sub-channel]" caption="Sub-channel" attribute="1" defaultMemberUniqueName="[Brain_Pharmacy].[Sub-channel].[All]" allUniqueName="[Brain_Pharmacy].[Sub-channel].[All]" dimensionUniqueName="[Brain_Pharmacy]" displayFolder="" count="0" memberValueDatatype="130" unbalanced="0"/>
    <cacheHierarchy uniqueName="[Brain_Pharmacy].[Product Name]" caption="Product Name" attribute="1" defaultMemberUniqueName="[Brain_Pharmacy].[Product Name].[All]" allUniqueName="[Brain_Pharmacy].[Product Name].[All]" dimensionUniqueName="[Brain_Pharmacy]" displayFolder="" count="2" memberValueDatatype="130" unbalanced="0">
      <fieldsUsage count="2">
        <fieldUsage x="-1"/>
        <fieldUsage x="0"/>
      </fieldsUsage>
    </cacheHierarchy>
    <cacheHierarchy uniqueName="[Brain_Pharmacy].[Product Class]" caption="Product Class" attribute="1" defaultMemberUniqueName="[Brain_Pharmacy].[Product Class].[All]" allUniqueName="[Brain_Pharmacy].[Product Class].[All]" dimensionUniqueName="[Brain_Pharmacy]" displayFolder="" count="2" memberValueDatatype="130" unbalanced="0">
      <fieldsUsage count="2">
        <fieldUsage x="-1"/>
        <fieldUsage x="3"/>
      </fieldsUsage>
    </cacheHierarchy>
    <cacheHierarchy uniqueName="[Brain_Pharmacy].[Quantity]" caption="Quantity" attribute="1" defaultMemberUniqueName="[Brain_Pharmacy].[Quantity].[All]" allUniqueName="[Brain_Pharmacy].[Quantity].[All]" dimensionUniqueName="[Brain_Pharmacy]" displayFolder="" count="0" memberValueDatatype="20" unbalanced="0"/>
    <cacheHierarchy uniqueName="[Brain_Pharmacy].[Price]" caption="Price" attribute="1" defaultMemberUniqueName="[Brain_Pharmacy].[Price].[All]" allUniqueName="[Brain_Pharmacy].[Price].[All]" dimensionUniqueName="[Brain_Pharmacy]" displayFolder="" count="0" memberValueDatatype="20" unbalanced="0"/>
    <cacheHierarchy uniqueName="[Brain_Pharmacy].[Sales]" caption="Sales" attribute="1" defaultMemberUniqueName="[Brain_Pharmacy].[Sales].[All]" allUniqueName="[Brain_Pharmacy].[Sales].[All]" dimensionUniqueName="[Brain_Pharmacy]" displayFolder="" count="0" memberValueDatatype="20" unbalanced="0"/>
    <cacheHierarchy uniqueName="[Brain_Pharmacy].[Gross Sales]" caption="Gross Sales" attribute="1" defaultMemberUniqueName="[Brain_Pharmacy].[Gross Sales].[All]" allUniqueName="[Brain_Pharmacy].[Gross Sales].[All]" dimensionUniqueName="[Brain_Pharmacy]" displayFolder="" count="0" memberValueDatatype="20" unbalanced="0"/>
    <cacheHierarchy uniqueName="[Brain_Pharmacy].[Returns (Negative Sales)]" caption="Returns (Negative Sales)" attribute="1" defaultMemberUniqueName="[Brain_Pharmacy].[Returns (Negative Sales)].[All]" allUniqueName="[Brain_Pharmacy].[Returns (Negative Sales)].[All]" dimensionUniqueName="[Brain_Pharmacy]" displayFolder="" count="0" memberValueDatatype="20" unbalanced="0"/>
    <cacheHierarchy uniqueName="[Brain_Pharmacy].[Month]" caption="Month" attribute="1" defaultMemberUniqueName="[Brain_Pharmacy].[Month].[All]" allUniqueName="[Brain_Pharmacy].[Month].[All]" dimensionUniqueName="[Brain_Pharmacy]" displayFolder="" count="0" memberValueDatatype="130" unbalanced="0"/>
    <cacheHierarchy uniqueName="[Brain_Pharmacy].[Year]" caption="Year" attribute="1" defaultMemberUniqueName="[Brain_Pharmacy].[Year].[All]" allUniqueName="[Brain_Pharmacy].[Year].[All]" dimensionUniqueName="[Brain_Pharmacy]" displayFolder="" count="2" memberValueDatatype="20" unbalanced="0"/>
    <cacheHierarchy uniqueName="[Brain_Pharmacy].[Name of Sales Rep]" caption="Name of Sales Rep" attribute="1" defaultMemberUniqueName="[Brain_Pharmacy].[Name of Sales Rep].[All]" allUniqueName="[Brain_Pharmacy].[Name of Sales Rep].[All]" dimensionUniqueName="[Brain_Pharmacy]" displayFolder="" count="0" memberValueDatatype="130" unbalanced="0"/>
    <cacheHierarchy uniqueName="[Brain_Pharmacy].[Manager]" caption="Manager" attribute="1" defaultMemberUniqueName="[Brain_Pharmacy].[Manager].[All]" allUniqueName="[Brain_Pharmacy].[Manager].[All]" dimensionUniqueName="[Brain_Pharmacy]" displayFolder="" count="0" memberValueDatatype="130" unbalanced="0"/>
    <cacheHierarchy uniqueName="[Brain_Pharmacy].[Sales Team]" caption="Sales Team" attribute="1" defaultMemberUniqueName="[Brain_Pharmacy].[Sales Team].[All]" allUniqueName="[Brain_Pharmacy].[Sales Team].[All]" dimensionUniqueName="[Brain_Pharmacy]" displayFolder="" count="0" memberValueDatatype="130" unbalanced="0"/>
    <cacheHierarchy uniqueName="[Table3].[Number of Products]" caption="Number of Products" attribute="1" defaultMemberUniqueName="[Table3].[Number of Products].[All]" allUniqueName="[Table3].[Number of Products].[All]" dimensionUniqueName="[Table3]" displayFolder="" count="0" memberValueDatatype="20" unbalanced="0"/>
    <cacheHierarchy uniqueName="[Measures].[__XL_Count Brain_Pharmacy]" caption="__XL_Count Brain_Pharmacy" measure="1" displayFolder="" measureGroup="Brain_Pharmacy"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roduct Name]" caption="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Number of Products]" caption="Sum of Number of Products" measure="1" displayFolder="" measureGroup="Table3" count="0" hidden="1">
      <extLst>
        <ext xmlns:x15="http://schemas.microsoft.com/office/spreadsheetml/2010/11/main" uri="{B97F6D7D-B522-45F9-BDA1-12C45D357490}">
          <x15:cacheHierarchy aggregatedColumn="20"/>
        </ext>
      </extLst>
    </cacheHierarchy>
    <cacheHierarchy uniqueName="[Measures].[Distinct Count of Product Name]" caption="Distinct 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Gross Sales]" caption="Sum of Gross Sales" measure="1" displayFolder="" measureGroup="Brain_Pharmacy"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Sales]" caption="Sum of Sales" measure="1" displayFolder="" measureGroup="Brain_Pharmacy" count="0" hidden="1">
      <extLst>
        <ext xmlns:x15="http://schemas.microsoft.com/office/spreadsheetml/2010/11/main" uri="{B97F6D7D-B522-45F9-BDA1-12C45D357490}">
          <x15:cacheHierarchy aggregatedColumn="12"/>
        </ext>
      </extLst>
    </cacheHierarchy>
    <cacheHierarchy uniqueName="[Measures].[Sum of Returns (Negative Sales)]" caption="Sum of Returns (Negative Sales)" measure="1" displayFolder="" measureGroup="Brain_Pharmacy"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Brain_Pharmacy"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Brain_Pharmacy"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Brain_Pharmacy"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Brain_Pharmacy" count="0" hidden="1">
      <extLst>
        <ext xmlns:x15="http://schemas.microsoft.com/office/spreadsheetml/2010/11/main" uri="{B97F6D7D-B522-45F9-BDA1-12C45D357490}">
          <x15:cacheHierarchy aggregatedColumn="16"/>
        </ext>
      </extLst>
    </cacheHierarchy>
  </cacheHierarchies>
  <kpis count="0"/>
  <dimensions count="3">
    <dimension name="Brain_Pharmacy" uniqueName="[Brain_Pharmacy]" caption="Brain_Pharmacy"/>
    <dimension measure="1" name="Measures" uniqueName="[Measures]" caption="Measures"/>
    <dimension name="Table3" uniqueName="[Table3]" caption="Table3"/>
  </dimensions>
  <measureGroups count="2">
    <measureGroup name="Brain_Pharmacy" caption="Brain_Pharmacy"/>
    <measureGroup name="Table3" caption="Table3"/>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883064351852" backgroundQuery="1" createdVersion="8" refreshedVersion="8" minRefreshableVersion="3" recordCount="0" supportSubquery="1" supportAdvancedDrill="1" xr:uid="{A841E146-AEA2-41AC-927B-A31846D6BD3F}">
  <cacheSource type="external" connectionId="2"/>
  <cacheFields count="3">
    <cacheField name="[Brain_Pharmacy].[Product Name].[Product Name]" caption="Product Name" numFmtId="0" hierarchy="8" level="1">
      <sharedItems count="5">
        <s v="Dexmeprazole Transnuvia"/>
        <s v="Morphizolid Tianalin"/>
        <s v="Relenstrel Exurabine"/>
        <s v="Ribabyclor"/>
        <s v="Tetratanyl"/>
      </sharedItems>
    </cacheField>
    <cacheField name="[Measures].[Sum of Gross Sales]" caption="Sum of Gross Sales" numFmtId="0" hierarchy="27" level="32767"/>
    <cacheField name="[Brain_Pharmacy].[Product Class].[Product Class]" caption="Product Class" numFmtId="0" hierarchy="9" level="1">
      <sharedItems containsSemiMixedTypes="0" containsNonDate="0" containsString="0"/>
    </cacheField>
  </cacheFields>
  <cacheHierarchies count="34">
    <cacheHierarchy uniqueName="[Brain_Pharmacy].[Distributor]" caption="Distributor" attribute="1" defaultMemberUniqueName="[Brain_Pharmacy].[Distributor].[All]" allUniqueName="[Brain_Pharmacy].[Distributor].[All]" dimensionUniqueName="[Brain_Pharmacy]" displayFolder="" count="0" memberValueDatatype="130" unbalanced="0"/>
    <cacheHierarchy uniqueName="[Brain_Pharmacy].[Customer Name]" caption="Customer Name" attribute="1" defaultMemberUniqueName="[Brain_Pharmacy].[Customer Name].[All]" allUniqueName="[Brain_Pharmacy].[Customer Name].[All]" dimensionUniqueName="[Brain_Pharmacy]" displayFolder="" count="0" memberValueDatatype="130" unbalanced="0"/>
    <cacheHierarchy uniqueName="[Brain_Pharmacy].[City]" caption="City" attribute="1" defaultMemberUniqueName="[Brain_Pharmacy].[City].[All]" allUniqueName="[Brain_Pharmacy].[City].[All]" dimensionUniqueName="[Brain_Pharmacy]" displayFolder="" count="0" memberValueDatatype="130" unbalanced="0"/>
    <cacheHierarchy uniqueName="[Brain_Pharmacy].[Country]" caption="Country" attribute="1" defaultMemberUniqueName="[Brain_Pharmacy].[Country].[All]" allUniqueName="[Brain_Pharmacy].[Country].[All]" dimensionUniqueName="[Brain_Pharmacy]" displayFolder="" count="2" memberValueDatatype="130" unbalanced="0"/>
    <cacheHierarchy uniqueName="[Brain_Pharmacy].[Latitude]" caption="Latitude" attribute="1" defaultMemberUniqueName="[Brain_Pharmacy].[Latitude].[All]" allUniqueName="[Brain_Pharmacy].[Latitude].[All]" dimensionUniqueName="[Brain_Pharmacy]" displayFolder="" count="0" memberValueDatatype="5" unbalanced="0"/>
    <cacheHierarchy uniqueName="[Brain_Pharmacy].[Longitude]" caption="Longitude" attribute="1" defaultMemberUniqueName="[Brain_Pharmacy].[Longitude].[All]" allUniqueName="[Brain_Pharmacy].[Longitude].[All]" dimensionUniqueName="[Brain_Pharmacy]" displayFolder="" count="0" memberValueDatatype="5" unbalanced="0"/>
    <cacheHierarchy uniqueName="[Brain_Pharmacy].[Channel]" caption="Channel" attribute="1" defaultMemberUniqueName="[Brain_Pharmacy].[Channel].[All]" allUniqueName="[Brain_Pharmacy].[Channel].[All]" dimensionUniqueName="[Brain_Pharmacy]" displayFolder="" count="2" memberValueDatatype="130" unbalanced="0"/>
    <cacheHierarchy uniqueName="[Brain_Pharmacy].[Sub-channel]" caption="Sub-channel" attribute="1" defaultMemberUniqueName="[Brain_Pharmacy].[Sub-channel].[All]" allUniqueName="[Brain_Pharmacy].[Sub-channel].[All]" dimensionUniqueName="[Brain_Pharmacy]" displayFolder="" count="0" memberValueDatatype="130" unbalanced="0"/>
    <cacheHierarchy uniqueName="[Brain_Pharmacy].[Product Name]" caption="Product Name" attribute="1" defaultMemberUniqueName="[Brain_Pharmacy].[Product Name].[All]" allUniqueName="[Brain_Pharmacy].[Product Name].[All]" dimensionUniqueName="[Brain_Pharmacy]" displayFolder="" count="2" memberValueDatatype="130" unbalanced="0">
      <fieldsUsage count="2">
        <fieldUsage x="-1"/>
        <fieldUsage x="0"/>
      </fieldsUsage>
    </cacheHierarchy>
    <cacheHierarchy uniqueName="[Brain_Pharmacy].[Product Class]" caption="Product Class" attribute="1" defaultMemberUniqueName="[Brain_Pharmacy].[Product Class].[All]" allUniqueName="[Brain_Pharmacy].[Product Class].[All]" dimensionUniqueName="[Brain_Pharmacy]" displayFolder="" count="2" memberValueDatatype="130" unbalanced="0">
      <fieldsUsage count="2">
        <fieldUsage x="-1"/>
        <fieldUsage x="2"/>
      </fieldsUsage>
    </cacheHierarchy>
    <cacheHierarchy uniqueName="[Brain_Pharmacy].[Quantity]" caption="Quantity" attribute="1" defaultMemberUniqueName="[Brain_Pharmacy].[Quantity].[All]" allUniqueName="[Brain_Pharmacy].[Quantity].[All]" dimensionUniqueName="[Brain_Pharmacy]" displayFolder="" count="0" memberValueDatatype="20" unbalanced="0"/>
    <cacheHierarchy uniqueName="[Brain_Pharmacy].[Price]" caption="Price" attribute="1" defaultMemberUniqueName="[Brain_Pharmacy].[Price].[All]" allUniqueName="[Brain_Pharmacy].[Price].[All]" dimensionUniqueName="[Brain_Pharmacy]" displayFolder="" count="0" memberValueDatatype="20" unbalanced="0"/>
    <cacheHierarchy uniqueName="[Brain_Pharmacy].[Sales]" caption="Sales" attribute="1" defaultMemberUniqueName="[Brain_Pharmacy].[Sales].[All]" allUniqueName="[Brain_Pharmacy].[Sales].[All]" dimensionUniqueName="[Brain_Pharmacy]" displayFolder="" count="0" memberValueDatatype="20" unbalanced="0"/>
    <cacheHierarchy uniqueName="[Brain_Pharmacy].[Gross Sales]" caption="Gross Sales" attribute="1" defaultMemberUniqueName="[Brain_Pharmacy].[Gross Sales].[All]" allUniqueName="[Brain_Pharmacy].[Gross Sales].[All]" dimensionUniqueName="[Brain_Pharmacy]" displayFolder="" count="0" memberValueDatatype="20" unbalanced="0"/>
    <cacheHierarchy uniqueName="[Brain_Pharmacy].[Returns (Negative Sales)]" caption="Returns (Negative Sales)" attribute="1" defaultMemberUniqueName="[Brain_Pharmacy].[Returns (Negative Sales)].[All]" allUniqueName="[Brain_Pharmacy].[Returns (Negative Sales)].[All]" dimensionUniqueName="[Brain_Pharmacy]" displayFolder="" count="0" memberValueDatatype="20" unbalanced="0"/>
    <cacheHierarchy uniqueName="[Brain_Pharmacy].[Month]" caption="Month" attribute="1" defaultMemberUniqueName="[Brain_Pharmacy].[Month].[All]" allUniqueName="[Brain_Pharmacy].[Month].[All]" dimensionUniqueName="[Brain_Pharmacy]" displayFolder="" count="0" memberValueDatatype="130" unbalanced="0"/>
    <cacheHierarchy uniqueName="[Brain_Pharmacy].[Year]" caption="Year" attribute="1" defaultMemberUniqueName="[Brain_Pharmacy].[Year].[All]" allUniqueName="[Brain_Pharmacy].[Year].[All]" dimensionUniqueName="[Brain_Pharmacy]" displayFolder="" count="2" memberValueDatatype="20" unbalanced="0"/>
    <cacheHierarchy uniqueName="[Brain_Pharmacy].[Name of Sales Rep]" caption="Name of Sales Rep" attribute="1" defaultMemberUniqueName="[Brain_Pharmacy].[Name of Sales Rep].[All]" allUniqueName="[Brain_Pharmacy].[Name of Sales Rep].[All]" dimensionUniqueName="[Brain_Pharmacy]" displayFolder="" count="0" memberValueDatatype="130" unbalanced="0"/>
    <cacheHierarchy uniqueName="[Brain_Pharmacy].[Manager]" caption="Manager" attribute="1" defaultMemberUniqueName="[Brain_Pharmacy].[Manager].[All]" allUniqueName="[Brain_Pharmacy].[Manager].[All]" dimensionUniqueName="[Brain_Pharmacy]" displayFolder="" count="0" memberValueDatatype="130" unbalanced="0"/>
    <cacheHierarchy uniqueName="[Brain_Pharmacy].[Sales Team]" caption="Sales Team" attribute="1" defaultMemberUniqueName="[Brain_Pharmacy].[Sales Team].[All]" allUniqueName="[Brain_Pharmacy].[Sales Team].[All]" dimensionUniqueName="[Brain_Pharmacy]" displayFolder="" count="0" memberValueDatatype="130" unbalanced="0"/>
    <cacheHierarchy uniqueName="[Table3].[Number of Products]" caption="Number of Products" attribute="1" defaultMemberUniqueName="[Table3].[Number of Products].[All]" allUniqueName="[Table3].[Number of Products].[All]" dimensionUniqueName="[Table3]" displayFolder="" count="0" memberValueDatatype="20" unbalanced="0"/>
    <cacheHierarchy uniqueName="[Measures].[__XL_Count Brain_Pharmacy]" caption="__XL_Count Brain_Pharmacy" measure="1" displayFolder="" measureGroup="Brain_Pharmacy"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roduct Name]" caption="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Number of Products]" caption="Sum of Number of Products" measure="1" displayFolder="" measureGroup="Table3" count="0" hidden="1">
      <extLst>
        <ext xmlns:x15="http://schemas.microsoft.com/office/spreadsheetml/2010/11/main" uri="{B97F6D7D-B522-45F9-BDA1-12C45D357490}">
          <x15:cacheHierarchy aggregatedColumn="20"/>
        </ext>
      </extLst>
    </cacheHierarchy>
    <cacheHierarchy uniqueName="[Measures].[Distinct Count of Product Name]" caption="Distinct 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Gross Sales]" caption="Sum of Gross Sales" measure="1" displayFolder="" measureGroup="Brain_Pharmacy"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Sales]" caption="Sum of Sales" measure="1" displayFolder="" measureGroup="Brain_Pharmacy" count="0" hidden="1">
      <extLst>
        <ext xmlns:x15="http://schemas.microsoft.com/office/spreadsheetml/2010/11/main" uri="{B97F6D7D-B522-45F9-BDA1-12C45D357490}">
          <x15:cacheHierarchy aggregatedColumn="12"/>
        </ext>
      </extLst>
    </cacheHierarchy>
    <cacheHierarchy uniqueName="[Measures].[Sum of Returns (Negative Sales)]" caption="Sum of Returns (Negative Sales)" measure="1" displayFolder="" measureGroup="Brain_Pharmacy"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Brain_Pharmacy"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Brain_Pharmacy"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Brain_Pharmacy"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Brain_Pharmacy" count="0" hidden="1">
      <extLst>
        <ext xmlns:x15="http://schemas.microsoft.com/office/spreadsheetml/2010/11/main" uri="{B97F6D7D-B522-45F9-BDA1-12C45D357490}">
          <x15:cacheHierarchy aggregatedColumn="16"/>
        </ext>
      </extLst>
    </cacheHierarchy>
  </cacheHierarchies>
  <kpis count="0"/>
  <dimensions count="3">
    <dimension name="Brain_Pharmacy" uniqueName="[Brain_Pharmacy]" caption="Brain_Pharmacy"/>
    <dimension measure="1" name="Measures" uniqueName="[Measures]" caption="Measures"/>
    <dimension name="Table3" uniqueName="[Table3]" caption="Table3"/>
  </dimensions>
  <measureGroups count="2">
    <measureGroup name="Brain_Pharmacy" caption="Brain_Pharmacy"/>
    <measureGroup name="Table3" caption="Table3"/>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883064583337" backgroundQuery="1" createdVersion="8" refreshedVersion="8" minRefreshableVersion="3" recordCount="0" supportSubquery="1" supportAdvancedDrill="1" xr:uid="{EF5E7F43-6D33-4D04-B46B-7042552A993A}">
  <cacheSource type="external" connectionId="2"/>
  <cacheFields count="2">
    <cacheField name="[Measures].[Sum of Gross Sales]" caption="Sum of Gross Sales" numFmtId="0" hierarchy="27" level="32767"/>
    <cacheField name="[Brain_Pharmacy].[Product Class].[Product Class]" caption="Product Class" numFmtId="0" hierarchy="9" level="1">
      <sharedItems containsSemiMixedTypes="0" containsNonDate="0" containsString="0"/>
    </cacheField>
  </cacheFields>
  <cacheHierarchies count="34">
    <cacheHierarchy uniqueName="[Brain_Pharmacy].[Distributor]" caption="Distributor" attribute="1" defaultMemberUniqueName="[Brain_Pharmacy].[Distributor].[All]" allUniqueName="[Brain_Pharmacy].[Distributor].[All]" dimensionUniqueName="[Brain_Pharmacy]" displayFolder="" count="0" memberValueDatatype="130" unbalanced="0"/>
    <cacheHierarchy uniqueName="[Brain_Pharmacy].[Customer Name]" caption="Customer Name" attribute="1" defaultMemberUniqueName="[Brain_Pharmacy].[Customer Name].[All]" allUniqueName="[Brain_Pharmacy].[Customer Name].[All]" dimensionUniqueName="[Brain_Pharmacy]" displayFolder="" count="0" memberValueDatatype="130" unbalanced="0"/>
    <cacheHierarchy uniqueName="[Brain_Pharmacy].[City]" caption="City" attribute="1" defaultMemberUniqueName="[Brain_Pharmacy].[City].[All]" allUniqueName="[Brain_Pharmacy].[City].[All]" dimensionUniqueName="[Brain_Pharmacy]" displayFolder="" count="0" memberValueDatatype="130" unbalanced="0"/>
    <cacheHierarchy uniqueName="[Brain_Pharmacy].[Country]" caption="Country" attribute="1" defaultMemberUniqueName="[Brain_Pharmacy].[Country].[All]" allUniqueName="[Brain_Pharmacy].[Country].[All]" dimensionUniqueName="[Brain_Pharmacy]" displayFolder="" count="2" memberValueDatatype="130" unbalanced="0"/>
    <cacheHierarchy uniqueName="[Brain_Pharmacy].[Latitude]" caption="Latitude" attribute="1" defaultMemberUniqueName="[Brain_Pharmacy].[Latitude].[All]" allUniqueName="[Brain_Pharmacy].[Latitude].[All]" dimensionUniqueName="[Brain_Pharmacy]" displayFolder="" count="0" memberValueDatatype="5" unbalanced="0"/>
    <cacheHierarchy uniqueName="[Brain_Pharmacy].[Longitude]" caption="Longitude" attribute="1" defaultMemberUniqueName="[Brain_Pharmacy].[Longitude].[All]" allUniqueName="[Brain_Pharmacy].[Longitude].[All]" dimensionUniqueName="[Brain_Pharmacy]" displayFolder="" count="0" memberValueDatatype="5" unbalanced="0"/>
    <cacheHierarchy uniqueName="[Brain_Pharmacy].[Channel]" caption="Channel" attribute="1" defaultMemberUniqueName="[Brain_Pharmacy].[Channel].[All]" allUniqueName="[Brain_Pharmacy].[Channel].[All]" dimensionUniqueName="[Brain_Pharmacy]" displayFolder="" count="2" memberValueDatatype="130" unbalanced="0"/>
    <cacheHierarchy uniqueName="[Brain_Pharmacy].[Sub-channel]" caption="Sub-channel" attribute="1" defaultMemberUniqueName="[Brain_Pharmacy].[Sub-channel].[All]" allUniqueName="[Brain_Pharmacy].[Sub-channel].[All]" dimensionUniqueName="[Brain_Pharmacy]" displayFolder="" count="0" memberValueDatatype="130" unbalanced="0"/>
    <cacheHierarchy uniqueName="[Brain_Pharmacy].[Product Name]" caption="Product Name" attribute="1" defaultMemberUniqueName="[Brain_Pharmacy].[Product Name].[All]" allUniqueName="[Brain_Pharmacy].[Product Name].[All]" dimensionUniqueName="[Brain_Pharmacy]" displayFolder="" count="0" memberValueDatatype="130" unbalanced="0"/>
    <cacheHierarchy uniqueName="[Brain_Pharmacy].[Product Class]" caption="Product Class" attribute="1" defaultMemberUniqueName="[Brain_Pharmacy].[Product Class].[All]" allUniqueName="[Brain_Pharmacy].[Product Class].[All]" dimensionUniqueName="[Brain_Pharmacy]" displayFolder="" count="2" memberValueDatatype="130" unbalanced="0">
      <fieldsUsage count="2">
        <fieldUsage x="-1"/>
        <fieldUsage x="1"/>
      </fieldsUsage>
    </cacheHierarchy>
    <cacheHierarchy uniqueName="[Brain_Pharmacy].[Quantity]" caption="Quantity" attribute="1" defaultMemberUniqueName="[Brain_Pharmacy].[Quantity].[All]" allUniqueName="[Brain_Pharmacy].[Quantity].[All]" dimensionUniqueName="[Brain_Pharmacy]" displayFolder="" count="0" memberValueDatatype="20" unbalanced="0"/>
    <cacheHierarchy uniqueName="[Brain_Pharmacy].[Price]" caption="Price" attribute="1" defaultMemberUniqueName="[Brain_Pharmacy].[Price].[All]" allUniqueName="[Brain_Pharmacy].[Price].[All]" dimensionUniqueName="[Brain_Pharmacy]" displayFolder="" count="0" memberValueDatatype="20" unbalanced="0"/>
    <cacheHierarchy uniqueName="[Brain_Pharmacy].[Sales]" caption="Sales" attribute="1" defaultMemberUniqueName="[Brain_Pharmacy].[Sales].[All]" allUniqueName="[Brain_Pharmacy].[Sales].[All]" dimensionUniqueName="[Brain_Pharmacy]" displayFolder="" count="0" memberValueDatatype="20" unbalanced="0"/>
    <cacheHierarchy uniqueName="[Brain_Pharmacy].[Gross Sales]" caption="Gross Sales" attribute="1" defaultMemberUniqueName="[Brain_Pharmacy].[Gross Sales].[All]" allUniqueName="[Brain_Pharmacy].[Gross Sales].[All]" dimensionUniqueName="[Brain_Pharmacy]" displayFolder="" count="0" memberValueDatatype="20" unbalanced="0"/>
    <cacheHierarchy uniqueName="[Brain_Pharmacy].[Returns (Negative Sales)]" caption="Returns (Negative Sales)" attribute="1" defaultMemberUniqueName="[Brain_Pharmacy].[Returns (Negative Sales)].[All]" allUniqueName="[Brain_Pharmacy].[Returns (Negative Sales)].[All]" dimensionUniqueName="[Brain_Pharmacy]" displayFolder="" count="0" memberValueDatatype="20" unbalanced="0"/>
    <cacheHierarchy uniqueName="[Brain_Pharmacy].[Month]" caption="Month" attribute="1" defaultMemberUniqueName="[Brain_Pharmacy].[Month].[All]" allUniqueName="[Brain_Pharmacy].[Month].[All]" dimensionUniqueName="[Brain_Pharmacy]" displayFolder="" count="0" memberValueDatatype="130" unbalanced="0"/>
    <cacheHierarchy uniqueName="[Brain_Pharmacy].[Year]" caption="Year" attribute="1" defaultMemberUniqueName="[Brain_Pharmacy].[Year].[All]" allUniqueName="[Brain_Pharmacy].[Year].[All]" dimensionUniqueName="[Brain_Pharmacy]" displayFolder="" count="2" memberValueDatatype="20" unbalanced="0"/>
    <cacheHierarchy uniqueName="[Brain_Pharmacy].[Name of Sales Rep]" caption="Name of Sales Rep" attribute="1" defaultMemberUniqueName="[Brain_Pharmacy].[Name of Sales Rep].[All]" allUniqueName="[Brain_Pharmacy].[Name of Sales Rep].[All]" dimensionUniqueName="[Brain_Pharmacy]" displayFolder="" count="0" memberValueDatatype="130" unbalanced="0"/>
    <cacheHierarchy uniqueName="[Brain_Pharmacy].[Manager]" caption="Manager" attribute="1" defaultMemberUniqueName="[Brain_Pharmacy].[Manager].[All]" allUniqueName="[Brain_Pharmacy].[Manager].[All]" dimensionUniqueName="[Brain_Pharmacy]" displayFolder="" count="0" memberValueDatatype="130" unbalanced="0"/>
    <cacheHierarchy uniqueName="[Brain_Pharmacy].[Sales Team]" caption="Sales Team" attribute="1" defaultMemberUniqueName="[Brain_Pharmacy].[Sales Team].[All]" allUniqueName="[Brain_Pharmacy].[Sales Team].[All]" dimensionUniqueName="[Brain_Pharmacy]" displayFolder="" count="0" memberValueDatatype="130" unbalanced="0"/>
    <cacheHierarchy uniqueName="[Table3].[Number of Products]" caption="Number of Products" attribute="1" defaultMemberUniqueName="[Table3].[Number of Products].[All]" allUniqueName="[Table3].[Number of Products].[All]" dimensionUniqueName="[Table3]" displayFolder="" count="0" memberValueDatatype="20" unbalanced="0"/>
    <cacheHierarchy uniqueName="[Measures].[__XL_Count Brain_Pharmacy]" caption="__XL_Count Brain_Pharmacy" measure="1" displayFolder="" measureGroup="Brain_Pharmacy"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roduct Name]" caption="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Number of Products]" caption="Sum of Number of Products" measure="1" displayFolder="" measureGroup="Table3" count="0" hidden="1">
      <extLst>
        <ext xmlns:x15="http://schemas.microsoft.com/office/spreadsheetml/2010/11/main" uri="{B97F6D7D-B522-45F9-BDA1-12C45D357490}">
          <x15:cacheHierarchy aggregatedColumn="20"/>
        </ext>
      </extLst>
    </cacheHierarchy>
    <cacheHierarchy uniqueName="[Measures].[Distinct Count of Product Name]" caption="Distinct 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Gross Sales]" caption="Sum of Gross Sales" measure="1" displayFolder="" measureGroup="Brain_Pharmacy"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Sales]" caption="Sum of Sales" measure="1" displayFolder="" measureGroup="Brain_Pharmacy" count="0" hidden="1">
      <extLst>
        <ext xmlns:x15="http://schemas.microsoft.com/office/spreadsheetml/2010/11/main" uri="{B97F6D7D-B522-45F9-BDA1-12C45D357490}">
          <x15:cacheHierarchy aggregatedColumn="12"/>
        </ext>
      </extLst>
    </cacheHierarchy>
    <cacheHierarchy uniqueName="[Measures].[Sum of Returns (Negative Sales)]" caption="Sum of Returns (Negative Sales)" measure="1" displayFolder="" measureGroup="Brain_Pharmacy"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Brain_Pharmacy"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Brain_Pharmacy"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Brain_Pharmacy"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Brain_Pharmacy" count="0" hidden="1">
      <extLst>
        <ext xmlns:x15="http://schemas.microsoft.com/office/spreadsheetml/2010/11/main" uri="{B97F6D7D-B522-45F9-BDA1-12C45D357490}">
          <x15:cacheHierarchy aggregatedColumn="16"/>
        </ext>
      </extLst>
    </cacheHierarchy>
  </cacheHierarchies>
  <kpis count="0"/>
  <dimensions count="3">
    <dimension name="Brain_Pharmacy" uniqueName="[Brain_Pharmacy]" caption="Brain_Pharmacy"/>
    <dimension measure="1" name="Measures" uniqueName="[Measures]" caption="Measures"/>
    <dimension name="Table3" uniqueName="[Table3]" caption="Table3"/>
  </dimensions>
  <measureGroups count="2">
    <measureGroup name="Brain_Pharmacy" caption="Brain_Pharmacy"/>
    <measureGroup name="Table3" caption="Table3"/>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883064699075" backgroundQuery="1" createdVersion="8" refreshedVersion="8" minRefreshableVersion="3" recordCount="0" supportSubquery="1" supportAdvancedDrill="1" xr:uid="{53D41B46-5419-4429-A14C-36ED7F573C41}">
  <cacheSource type="external" connectionId="2"/>
  <cacheFields count="2">
    <cacheField name="[Measures].[Sum of Sales]" caption="Sum of Sales" numFmtId="0" hierarchy="28" level="32767"/>
    <cacheField name="[Brain_Pharmacy].[Product Class].[Product Class]" caption="Product Class" numFmtId="0" hierarchy="9" level="1">
      <sharedItems containsSemiMixedTypes="0" containsNonDate="0" containsString="0"/>
    </cacheField>
  </cacheFields>
  <cacheHierarchies count="34">
    <cacheHierarchy uniqueName="[Brain_Pharmacy].[Distributor]" caption="Distributor" attribute="1" defaultMemberUniqueName="[Brain_Pharmacy].[Distributor].[All]" allUniqueName="[Brain_Pharmacy].[Distributor].[All]" dimensionUniqueName="[Brain_Pharmacy]" displayFolder="" count="0" memberValueDatatype="130" unbalanced="0"/>
    <cacheHierarchy uniqueName="[Brain_Pharmacy].[Customer Name]" caption="Customer Name" attribute="1" defaultMemberUniqueName="[Brain_Pharmacy].[Customer Name].[All]" allUniqueName="[Brain_Pharmacy].[Customer Name].[All]" dimensionUniqueName="[Brain_Pharmacy]" displayFolder="" count="0" memberValueDatatype="130" unbalanced="0"/>
    <cacheHierarchy uniqueName="[Brain_Pharmacy].[City]" caption="City" attribute="1" defaultMemberUniqueName="[Brain_Pharmacy].[City].[All]" allUniqueName="[Brain_Pharmacy].[City].[All]" dimensionUniqueName="[Brain_Pharmacy]" displayFolder="" count="0" memberValueDatatype="130" unbalanced="0"/>
    <cacheHierarchy uniqueName="[Brain_Pharmacy].[Country]" caption="Country" attribute="1" defaultMemberUniqueName="[Brain_Pharmacy].[Country].[All]" allUniqueName="[Brain_Pharmacy].[Country].[All]" dimensionUniqueName="[Brain_Pharmacy]" displayFolder="" count="2" memberValueDatatype="130" unbalanced="0"/>
    <cacheHierarchy uniqueName="[Brain_Pharmacy].[Latitude]" caption="Latitude" attribute="1" defaultMemberUniqueName="[Brain_Pharmacy].[Latitude].[All]" allUniqueName="[Brain_Pharmacy].[Latitude].[All]" dimensionUniqueName="[Brain_Pharmacy]" displayFolder="" count="0" memberValueDatatype="5" unbalanced="0"/>
    <cacheHierarchy uniqueName="[Brain_Pharmacy].[Longitude]" caption="Longitude" attribute="1" defaultMemberUniqueName="[Brain_Pharmacy].[Longitude].[All]" allUniqueName="[Brain_Pharmacy].[Longitude].[All]" dimensionUniqueName="[Brain_Pharmacy]" displayFolder="" count="0" memberValueDatatype="5" unbalanced="0"/>
    <cacheHierarchy uniqueName="[Brain_Pharmacy].[Channel]" caption="Channel" attribute="1" defaultMemberUniqueName="[Brain_Pharmacy].[Channel].[All]" allUniqueName="[Brain_Pharmacy].[Channel].[All]" dimensionUniqueName="[Brain_Pharmacy]" displayFolder="" count="2" memberValueDatatype="130" unbalanced="0"/>
    <cacheHierarchy uniqueName="[Brain_Pharmacy].[Sub-channel]" caption="Sub-channel" attribute="1" defaultMemberUniqueName="[Brain_Pharmacy].[Sub-channel].[All]" allUniqueName="[Brain_Pharmacy].[Sub-channel].[All]" dimensionUniqueName="[Brain_Pharmacy]" displayFolder="" count="0" memberValueDatatype="130" unbalanced="0"/>
    <cacheHierarchy uniqueName="[Brain_Pharmacy].[Product Name]" caption="Product Name" attribute="1" defaultMemberUniqueName="[Brain_Pharmacy].[Product Name].[All]" allUniqueName="[Brain_Pharmacy].[Product Name].[All]" dimensionUniqueName="[Brain_Pharmacy]" displayFolder="" count="0" memberValueDatatype="130" unbalanced="0"/>
    <cacheHierarchy uniqueName="[Brain_Pharmacy].[Product Class]" caption="Product Class" attribute="1" defaultMemberUniqueName="[Brain_Pharmacy].[Product Class].[All]" allUniqueName="[Brain_Pharmacy].[Product Class].[All]" dimensionUniqueName="[Brain_Pharmacy]" displayFolder="" count="2" memberValueDatatype="130" unbalanced="0">
      <fieldsUsage count="2">
        <fieldUsage x="-1"/>
        <fieldUsage x="1"/>
      </fieldsUsage>
    </cacheHierarchy>
    <cacheHierarchy uniqueName="[Brain_Pharmacy].[Quantity]" caption="Quantity" attribute="1" defaultMemberUniqueName="[Brain_Pharmacy].[Quantity].[All]" allUniqueName="[Brain_Pharmacy].[Quantity].[All]" dimensionUniqueName="[Brain_Pharmacy]" displayFolder="" count="0" memberValueDatatype="20" unbalanced="0"/>
    <cacheHierarchy uniqueName="[Brain_Pharmacy].[Price]" caption="Price" attribute="1" defaultMemberUniqueName="[Brain_Pharmacy].[Price].[All]" allUniqueName="[Brain_Pharmacy].[Price].[All]" dimensionUniqueName="[Brain_Pharmacy]" displayFolder="" count="0" memberValueDatatype="20" unbalanced="0"/>
    <cacheHierarchy uniqueName="[Brain_Pharmacy].[Sales]" caption="Sales" attribute="1" defaultMemberUniqueName="[Brain_Pharmacy].[Sales].[All]" allUniqueName="[Brain_Pharmacy].[Sales].[All]" dimensionUniqueName="[Brain_Pharmacy]" displayFolder="" count="0" memberValueDatatype="20" unbalanced="0"/>
    <cacheHierarchy uniqueName="[Brain_Pharmacy].[Gross Sales]" caption="Gross Sales" attribute="1" defaultMemberUniqueName="[Brain_Pharmacy].[Gross Sales].[All]" allUniqueName="[Brain_Pharmacy].[Gross Sales].[All]" dimensionUniqueName="[Brain_Pharmacy]" displayFolder="" count="0" memberValueDatatype="20" unbalanced="0"/>
    <cacheHierarchy uniqueName="[Brain_Pharmacy].[Returns (Negative Sales)]" caption="Returns (Negative Sales)" attribute="1" defaultMemberUniqueName="[Brain_Pharmacy].[Returns (Negative Sales)].[All]" allUniqueName="[Brain_Pharmacy].[Returns (Negative Sales)].[All]" dimensionUniqueName="[Brain_Pharmacy]" displayFolder="" count="0" memberValueDatatype="20" unbalanced="0"/>
    <cacheHierarchy uniqueName="[Brain_Pharmacy].[Month]" caption="Month" attribute="1" defaultMemberUniqueName="[Brain_Pharmacy].[Month].[All]" allUniqueName="[Brain_Pharmacy].[Month].[All]" dimensionUniqueName="[Brain_Pharmacy]" displayFolder="" count="0" memberValueDatatype="130" unbalanced="0"/>
    <cacheHierarchy uniqueName="[Brain_Pharmacy].[Year]" caption="Year" attribute="1" defaultMemberUniqueName="[Brain_Pharmacy].[Year].[All]" allUniqueName="[Brain_Pharmacy].[Year].[All]" dimensionUniqueName="[Brain_Pharmacy]" displayFolder="" count="2" memberValueDatatype="20" unbalanced="0"/>
    <cacheHierarchy uniqueName="[Brain_Pharmacy].[Name of Sales Rep]" caption="Name of Sales Rep" attribute="1" defaultMemberUniqueName="[Brain_Pharmacy].[Name of Sales Rep].[All]" allUniqueName="[Brain_Pharmacy].[Name of Sales Rep].[All]" dimensionUniqueName="[Brain_Pharmacy]" displayFolder="" count="0" memberValueDatatype="130" unbalanced="0"/>
    <cacheHierarchy uniqueName="[Brain_Pharmacy].[Manager]" caption="Manager" attribute="1" defaultMemberUniqueName="[Brain_Pharmacy].[Manager].[All]" allUniqueName="[Brain_Pharmacy].[Manager].[All]" dimensionUniqueName="[Brain_Pharmacy]" displayFolder="" count="0" memberValueDatatype="130" unbalanced="0"/>
    <cacheHierarchy uniqueName="[Brain_Pharmacy].[Sales Team]" caption="Sales Team" attribute="1" defaultMemberUniqueName="[Brain_Pharmacy].[Sales Team].[All]" allUniqueName="[Brain_Pharmacy].[Sales Team].[All]" dimensionUniqueName="[Brain_Pharmacy]" displayFolder="" count="0" memberValueDatatype="130" unbalanced="0"/>
    <cacheHierarchy uniqueName="[Table3].[Number of Products]" caption="Number of Products" attribute="1" defaultMemberUniqueName="[Table3].[Number of Products].[All]" allUniqueName="[Table3].[Number of Products].[All]" dimensionUniqueName="[Table3]" displayFolder="" count="0" memberValueDatatype="20" unbalanced="0"/>
    <cacheHierarchy uniqueName="[Measures].[__XL_Count Brain_Pharmacy]" caption="__XL_Count Brain_Pharmacy" measure="1" displayFolder="" measureGroup="Brain_Pharmacy"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roduct Name]" caption="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Number of Products]" caption="Sum of Number of Products" measure="1" displayFolder="" measureGroup="Table3" count="0" hidden="1">
      <extLst>
        <ext xmlns:x15="http://schemas.microsoft.com/office/spreadsheetml/2010/11/main" uri="{B97F6D7D-B522-45F9-BDA1-12C45D357490}">
          <x15:cacheHierarchy aggregatedColumn="20"/>
        </ext>
      </extLst>
    </cacheHierarchy>
    <cacheHierarchy uniqueName="[Measures].[Distinct Count of Product Name]" caption="Distinct 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Gross Sales]" caption="Sum of Gross Sales" measure="1" displayFolder="" measureGroup="Brain_Pharmacy"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Brain_Pharmacy"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Returns (Negative Sales)]" caption="Sum of Returns (Negative Sales)" measure="1" displayFolder="" measureGroup="Brain_Pharmacy"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Brain_Pharmacy"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Brain_Pharmacy"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Brain_Pharmacy"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Brain_Pharmacy" count="0" hidden="1">
      <extLst>
        <ext xmlns:x15="http://schemas.microsoft.com/office/spreadsheetml/2010/11/main" uri="{B97F6D7D-B522-45F9-BDA1-12C45D357490}">
          <x15:cacheHierarchy aggregatedColumn="16"/>
        </ext>
      </extLst>
    </cacheHierarchy>
  </cacheHierarchies>
  <kpis count="0"/>
  <dimensions count="3">
    <dimension name="Brain_Pharmacy" uniqueName="[Brain_Pharmacy]" caption="Brain_Pharmacy"/>
    <dimension measure="1" name="Measures" uniqueName="[Measures]" caption="Measures"/>
    <dimension name="Table3" uniqueName="[Table3]" caption="Table3"/>
  </dimensions>
  <measureGroups count="2">
    <measureGroup name="Brain_Pharmacy" caption="Brain_Pharmacy"/>
    <measureGroup name="Table3" caption="Table3"/>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1.015557986109" backgroundQuery="1" createdVersion="8" refreshedVersion="8" minRefreshableVersion="3" recordCount="0" supportSubquery="1" supportAdvancedDrill="1" xr:uid="{7C848622-7E64-46DB-83AB-2242F6DBFCD9}">
  <cacheSource type="external" connectionId="2"/>
  <cacheFields count="2">
    <cacheField name="[Measures].[Sum of Gross Sales]" caption="Sum of Gross Sales" numFmtId="0" hierarchy="27" level="32767"/>
    <cacheField name="[Brain_Pharmacy].[Product Name].[Product Name]" caption="Product Name" numFmtId="0" hierarchy="8" level="1">
      <sharedItems count="1">
        <s v="Ribabyclor"/>
      </sharedItems>
    </cacheField>
  </cacheFields>
  <cacheHierarchies count="34">
    <cacheHierarchy uniqueName="[Brain_Pharmacy].[Distributor]" caption="Distributor" attribute="1" defaultMemberUniqueName="[Brain_Pharmacy].[Distributor].[All]" allUniqueName="[Brain_Pharmacy].[Distributor].[All]" dimensionUniqueName="[Brain_Pharmacy]" displayFolder="" count="0" memberValueDatatype="130" unbalanced="0"/>
    <cacheHierarchy uniqueName="[Brain_Pharmacy].[Customer Name]" caption="Customer Name" attribute="1" defaultMemberUniqueName="[Brain_Pharmacy].[Customer Name].[All]" allUniqueName="[Brain_Pharmacy].[Customer Name].[All]" dimensionUniqueName="[Brain_Pharmacy]" displayFolder="" count="0" memberValueDatatype="130" unbalanced="0"/>
    <cacheHierarchy uniqueName="[Brain_Pharmacy].[City]" caption="City" attribute="1" defaultMemberUniqueName="[Brain_Pharmacy].[City].[All]" allUniqueName="[Brain_Pharmacy].[City].[All]" dimensionUniqueName="[Brain_Pharmacy]" displayFolder="" count="0" memberValueDatatype="130" unbalanced="0"/>
    <cacheHierarchy uniqueName="[Brain_Pharmacy].[Country]" caption="Country" attribute="1" defaultMemberUniqueName="[Brain_Pharmacy].[Country].[All]" allUniqueName="[Brain_Pharmacy].[Country].[All]" dimensionUniqueName="[Brain_Pharmacy]" displayFolder="" count="2" memberValueDatatype="130" unbalanced="0"/>
    <cacheHierarchy uniqueName="[Brain_Pharmacy].[Latitude]" caption="Latitude" attribute="1" defaultMemberUniqueName="[Brain_Pharmacy].[Latitude].[All]" allUniqueName="[Brain_Pharmacy].[Latitude].[All]" dimensionUniqueName="[Brain_Pharmacy]" displayFolder="" count="0" memberValueDatatype="5" unbalanced="0"/>
    <cacheHierarchy uniqueName="[Brain_Pharmacy].[Longitude]" caption="Longitude" attribute="1" defaultMemberUniqueName="[Brain_Pharmacy].[Longitude].[All]" allUniqueName="[Brain_Pharmacy].[Longitude].[All]" dimensionUniqueName="[Brain_Pharmacy]" displayFolder="" count="0" memberValueDatatype="5" unbalanced="0"/>
    <cacheHierarchy uniqueName="[Brain_Pharmacy].[Channel]" caption="Channel" attribute="1" defaultMemberUniqueName="[Brain_Pharmacy].[Channel].[All]" allUniqueName="[Brain_Pharmacy].[Channel].[All]" dimensionUniqueName="[Brain_Pharmacy]" displayFolder="" count="2" memberValueDatatype="130" unbalanced="0"/>
    <cacheHierarchy uniqueName="[Brain_Pharmacy].[Sub-channel]" caption="Sub-channel" attribute="1" defaultMemberUniqueName="[Brain_Pharmacy].[Sub-channel].[All]" allUniqueName="[Brain_Pharmacy].[Sub-channel].[All]" dimensionUniqueName="[Brain_Pharmacy]" displayFolder="" count="0" memberValueDatatype="130" unbalanced="0"/>
    <cacheHierarchy uniqueName="[Brain_Pharmacy].[Product Name]" caption="Product Name" attribute="1" defaultMemberUniqueName="[Brain_Pharmacy].[Product Name].[All]" allUniqueName="[Brain_Pharmacy].[Product Name].[All]" dimensionUniqueName="[Brain_Pharmacy]" displayFolder="" count="2" memberValueDatatype="130" unbalanced="0">
      <fieldsUsage count="2">
        <fieldUsage x="-1"/>
        <fieldUsage x="1"/>
      </fieldsUsage>
    </cacheHierarchy>
    <cacheHierarchy uniqueName="[Brain_Pharmacy].[Product Class]" caption="Product Class" attribute="1" defaultMemberUniqueName="[Brain_Pharmacy].[Product Class].[All]" allUniqueName="[Brain_Pharmacy].[Product Class].[All]" dimensionUniqueName="[Brain_Pharmacy]" displayFolder="" count="2" memberValueDatatype="130" unbalanced="0"/>
    <cacheHierarchy uniqueName="[Brain_Pharmacy].[Quantity]" caption="Quantity" attribute="1" defaultMemberUniqueName="[Brain_Pharmacy].[Quantity].[All]" allUniqueName="[Brain_Pharmacy].[Quantity].[All]" dimensionUniqueName="[Brain_Pharmacy]" displayFolder="" count="0" memberValueDatatype="20" unbalanced="0"/>
    <cacheHierarchy uniqueName="[Brain_Pharmacy].[Price]" caption="Price" attribute="1" defaultMemberUniqueName="[Brain_Pharmacy].[Price].[All]" allUniqueName="[Brain_Pharmacy].[Price].[All]" dimensionUniqueName="[Brain_Pharmacy]" displayFolder="" count="0" memberValueDatatype="20" unbalanced="0"/>
    <cacheHierarchy uniqueName="[Brain_Pharmacy].[Sales]" caption="Sales" attribute="1" defaultMemberUniqueName="[Brain_Pharmacy].[Sales].[All]" allUniqueName="[Brain_Pharmacy].[Sales].[All]" dimensionUniqueName="[Brain_Pharmacy]" displayFolder="" count="0" memberValueDatatype="20" unbalanced="0"/>
    <cacheHierarchy uniqueName="[Brain_Pharmacy].[Gross Sales]" caption="Gross Sales" attribute="1" defaultMemberUniqueName="[Brain_Pharmacy].[Gross Sales].[All]" allUniqueName="[Brain_Pharmacy].[Gross Sales].[All]" dimensionUniqueName="[Brain_Pharmacy]" displayFolder="" count="0" memberValueDatatype="20" unbalanced="0"/>
    <cacheHierarchy uniqueName="[Brain_Pharmacy].[Returns (Negative Sales)]" caption="Returns (Negative Sales)" attribute="1" defaultMemberUniqueName="[Brain_Pharmacy].[Returns (Negative Sales)].[All]" allUniqueName="[Brain_Pharmacy].[Returns (Negative Sales)].[All]" dimensionUniqueName="[Brain_Pharmacy]" displayFolder="" count="0" memberValueDatatype="20" unbalanced="0"/>
    <cacheHierarchy uniqueName="[Brain_Pharmacy].[Month]" caption="Month" attribute="1" defaultMemberUniqueName="[Brain_Pharmacy].[Month].[All]" allUniqueName="[Brain_Pharmacy].[Month].[All]" dimensionUniqueName="[Brain_Pharmacy]" displayFolder="" count="0" memberValueDatatype="130" unbalanced="0"/>
    <cacheHierarchy uniqueName="[Brain_Pharmacy].[Year]" caption="Year" attribute="1" defaultMemberUniqueName="[Brain_Pharmacy].[Year].[All]" allUniqueName="[Brain_Pharmacy].[Year].[All]" dimensionUniqueName="[Brain_Pharmacy]" displayFolder="" count="2" memberValueDatatype="20" unbalanced="0"/>
    <cacheHierarchy uniqueName="[Brain_Pharmacy].[Name of Sales Rep]" caption="Name of Sales Rep" attribute="1" defaultMemberUniqueName="[Brain_Pharmacy].[Name of Sales Rep].[All]" allUniqueName="[Brain_Pharmacy].[Name of Sales Rep].[All]" dimensionUniqueName="[Brain_Pharmacy]" displayFolder="" count="0" memberValueDatatype="130" unbalanced="0"/>
    <cacheHierarchy uniqueName="[Brain_Pharmacy].[Manager]" caption="Manager" attribute="1" defaultMemberUniqueName="[Brain_Pharmacy].[Manager].[All]" allUniqueName="[Brain_Pharmacy].[Manager].[All]" dimensionUniqueName="[Brain_Pharmacy]" displayFolder="" count="0" memberValueDatatype="130" unbalanced="0"/>
    <cacheHierarchy uniqueName="[Brain_Pharmacy].[Sales Team]" caption="Sales Team" attribute="1" defaultMemberUniqueName="[Brain_Pharmacy].[Sales Team].[All]" allUniqueName="[Brain_Pharmacy].[Sales Team].[All]" dimensionUniqueName="[Brain_Pharmacy]" displayFolder="" count="0" memberValueDatatype="130" unbalanced="0"/>
    <cacheHierarchy uniqueName="[Table3].[Number of Products]" caption="Number of Products" attribute="1" defaultMemberUniqueName="[Table3].[Number of Products].[All]" allUniqueName="[Table3].[Number of Products].[All]" dimensionUniqueName="[Table3]" displayFolder="" count="0" memberValueDatatype="20" unbalanced="0"/>
    <cacheHierarchy uniqueName="[Measures].[__XL_Count Brain_Pharmacy]" caption="__XL_Count Brain_Pharmacy" measure="1" displayFolder="" measureGroup="Brain_Pharmacy"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roduct Name]" caption="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Number of Products]" caption="Sum of Number of Products" measure="1" displayFolder="" measureGroup="Table3" count="0" hidden="1">
      <extLst>
        <ext xmlns:x15="http://schemas.microsoft.com/office/spreadsheetml/2010/11/main" uri="{B97F6D7D-B522-45F9-BDA1-12C45D357490}">
          <x15:cacheHierarchy aggregatedColumn="20"/>
        </ext>
      </extLst>
    </cacheHierarchy>
    <cacheHierarchy uniqueName="[Measures].[Distinct Count of Product Name]" caption="Distinct 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Gross Sales]" caption="Sum of Gross Sales" measure="1" displayFolder="" measureGroup="Brain_Pharmacy"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Sales]" caption="Sum of Sales" measure="1" displayFolder="" measureGroup="Brain_Pharmacy" count="0" hidden="1">
      <extLst>
        <ext xmlns:x15="http://schemas.microsoft.com/office/spreadsheetml/2010/11/main" uri="{B97F6D7D-B522-45F9-BDA1-12C45D357490}">
          <x15:cacheHierarchy aggregatedColumn="12"/>
        </ext>
      </extLst>
    </cacheHierarchy>
    <cacheHierarchy uniqueName="[Measures].[Sum of Returns (Negative Sales)]" caption="Sum of Returns (Negative Sales)" measure="1" displayFolder="" measureGroup="Brain_Pharmacy"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Brain_Pharmacy"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Brain_Pharmacy"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Brain_Pharmacy"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Brain_Pharmacy" count="0" hidden="1">
      <extLst>
        <ext xmlns:x15="http://schemas.microsoft.com/office/spreadsheetml/2010/11/main" uri="{B97F6D7D-B522-45F9-BDA1-12C45D357490}">
          <x15:cacheHierarchy aggregatedColumn="16"/>
        </ext>
      </extLst>
    </cacheHierarchy>
  </cacheHierarchies>
  <kpis count="0"/>
  <dimensions count="3">
    <dimension name="Brain_Pharmacy" uniqueName="[Brain_Pharmacy]" caption="Brain_Pharmacy"/>
    <dimension measure="1" name="Measures" uniqueName="[Measures]" caption="Measures"/>
    <dimension name="Table3" uniqueName="[Table3]" caption="Table3"/>
  </dimensions>
  <measureGroups count="2">
    <measureGroup name="Brain_Pharmacy" caption="Brain_Pharmacy"/>
    <measureGroup name="Table3" caption="Table3"/>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751900925927" backgroundQuery="1" createdVersion="3" refreshedVersion="8" minRefreshableVersion="3" recordCount="0" supportSubquery="1" supportAdvancedDrill="1" xr:uid="{930AE924-6FCF-4752-A9DB-32491FBDA849}">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Brain_Pharmacy].[Distributor]" caption="Distributor" attribute="1" defaultMemberUniqueName="[Brain_Pharmacy].[Distributor].[All]" allUniqueName="[Brain_Pharmacy].[Distributor].[All]" dimensionUniqueName="[Brain_Pharmacy]" displayFolder="" count="0" memberValueDatatype="130" unbalanced="0"/>
    <cacheHierarchy uniqueName="[Brain_Pharmacy].[Customer Name]" caption="Customer Name" attribute="1" defaultMemberUniqueName="[Brain_Pharmacy].[Customer Name].[All]" allUniqueName="[Brain_Pharmacy].[Customer Name].[All]" dimensionUniqueName="[Brain_Pharmacy]" displayFolder="" count="0" memberValueDatatype="130" unbalanced="0"/>
    <cacheHierarchy uniqueName="[Brain_Pharmacy].[City]" caption="City" attribute="1" defaultMemberUniqueName="[Brain_Pharmacy].[City].[All]" allUniqueName="[Brain_Pharmacy].[City].[All]" dimensionUniqueName="[Brain_Pharmacy]" displayFolder="" count="0" memberValueDatatype="130" unbalanced="0"/>
    <cacheHierarchy uniqueName="[Brain_Pharmacy].[Country]" caption="Country" attribute="1" defaultMemberUniqueName="[Brain_Pharmacy].[Country].[All]" allUniqueName="[Brain_Pharmacy].[Country].[All]" dimensionUniqueName="[Brain_Pharmacy]" displayFolder="" count="2" memberValueDatatype="130" unbalanced="0"/>
    <cacheHierarchy uniqueName="[Brain_Pharmacy].[Latitude]" caption="Latitude" attribute="1" defaultMemberUniqueName="[Brain_Pharmacy].[Latitude].[All]" allUniqueName="[Brain_Pharmacy].[Latitude].[All]" dimensionUniqueName="[Brain_Pharmacy]" displayFolder="" count="0" memberValueDatatype="5" unbalanced="0"/>
    <cacheHierarchy uniqueName="[Brain_Pharmacy].[Longitude]" caption="Longitude" attribute="1" defaultMemberUniqueName="[Brain_Pharmacy].[Longitude].[All]" allUniqueName="[Brain_Pharmacy].[Longitude].[All]" dimensionUniqueName="[Brain_Pharmacy]" displayFolder="" count="0" memberValueDatatype="5" unbalanced="0"/>
    <cacheHierarchy uniqueName="[Brain_Pharmacy].[Channel]" caption="Channel" attribute="1" defaultMemberUniqueName="[Brain_Pharmacy].[Channel].[All]" allUniqueName="[Brain_Pharmacy].[Channel].[All]" dimensionUniqueName="[Brain_Pharmacy]" displayFolder="" count="2" memberValueDatatype="130" unbalanced="0"/>
    <cacheHierarchy uniqueName="[Brain_Pharmacy].[Sub-channel]" caption="Sub-channel" attribute="1" defaultMemberUniqueName="[Brain_Pharmacy].[Sub-channel].[All]" allUniqueName="[Brain_Pharmacy].[Sub-channel].[All]" dimensionUniqueName="[Brain_Pharmacy]" displayFolder="" count="0" memberValueDatatype="130" unbalanced="0"/>
    <cacheHierarchy uniqueName="[Brain_Pharmacy].[Product Name]" caption="Product Name" attribute="1" defaultMemberUniqueName="[Brain_Pharmacy].[Product Name].[All]" allUniqueName="[Brain_Pharmacy].[Product Name].[All]" dimensionUniqueName="[Brain_Pharmacy]" displayFolder="" count="0" memberValueDatatype="130" unbalanced="0"/>
    <cacheHierarchy uniqueName="[Brain_Pharmacy].[Product Class]" caption="Product Class" attribute="1" defaultMemberUniqueName="[Brain_Pharmacy].[Product Class].[All]" allUniqueName="[Brain_Pharmacy].[Product Class].[All]" dimensionUniqueName="[Brain_Pharmacy]" displayFolder="" count="2" memberValueDatatype="130" unbalanced="0"/>
    <cacheHierarchy uniqueName="[Brain_Pharmacy].[Quantity]" caption="Quantity" attribute="1" defaultMemberUniqueName="[Brain_Pharmacy].[Quantity].[All]" allUniqueName="[Brain_Pharmacy].[Quantity].[All]" dimensionUniqueName="[Brain_Pharmacy]" displayFolder="" count="0" memberValueDatatype="20" unbalanced="0"/>
    <cacheHierarchy uniqueName="[Brain_Pharmacy].[Price]" caption="Price" attribute="1" defaultMemberUniqueName="[Brain_Pharmacy].[Price].[All]" allUniqueName="[Brain_Pharmacy].[Price].[All]" dimensionUniqueName="[Brain_Pharmacy]" displayFolder="" count="0" memberValueDatatype="20" unbalanced="0"/>
    <cacheHierarchy uniqueName="[Brain_Pharmacy].[Sales]" caption="Sales" attribute="1" defaultMemberUniqueName="[Brain_Pharmacy].[Sales].[All]" allUniqueName="[Brain_Pharmacy].[Sales].[All]" dimensionUniqueName="[Brain_Pharmacy]" displayFolder="" count="0" memberValueDatatype="20" unbalanced="0"/>
    <cacheHierarchy uniqueName="[Brain_Pharmacy].[Gross Sales]" caption="Gross Sales" attribute="1" defaultMemberUniqueName="[Brain_Pharmacy].[Gross Sales].[All]" allUniqueName="[Brain_Pharmacy].[Gross Sales].[All]" dimensionUniqueName="[Brain_Pharmacy]" displayFolder="" count="0" memberValueDatatype="20" unbalanced="0"/>
    <cacheHierarchy uniqueName="[Brain_Pharmacy].[Returns (Negative Sales)]" caption="Returns (Negative Sales)" attribute="1" defaultMemberUniqueName="[Brain_Pharmacy].[Returns (Negative Sales)].[All]" allUniqueName="[Brain_Pharmacy].[Returns (Negative Sales)].[All]" dimensionUniqueName="[Brain_Pharmacy]" displayFolder="" count="0" memberValueDatatype="20" unbalanced="0"/>
    <cacheHierarchy uniqueName="[Brain_Pharmacy].[Month]" caption="Month" attribute="1" defaultMemberUniqueName="[Brain_Pharmacy].[Month].[All]" allUniqueName="[Brain_Pharmacy].[Month].[All]" dimensionUniqueName="[Brain_Pharmacy]" displayFolder="" count="0" memberValueDatatype="130" unbalanced="0"/>
    <cacheHierarchy uniqueName="[Brain_Pharmacy].[Year]" caption="Year" attribute="1" defaultMemberUniqueName="[Brain_Pharmacy].[Year].[All]" allUniqueName="[Brain_Pharmacy].[Year].[All]" dimensionUniqueName="[Brain_Pharmacy]" displayFolder="" count="2" memberValueDatatype="20" unbalanced="0"/>
    <cacheHierarchy uniqueName="[Brain_Pharmacy].[Name of Sales Rep]" caption="Name of Sales Rep" attribute="1" defaultMemberUniqueName="[Brain_Pharmacy].[Name of Sales Rep].[All]" allUniqueName="[Brain_Pharmacy].[Name of Sales Rep].[All]" dimensionUniqueName="[Brain_Pharmacy]" displayFolder="" count="0" memberValueDatatype="130" unbalanced="0"/>
    <cacheHierarchy uniqueName="[Brain_Pharmacy].[Manager]" caption="Manager" attribute="1" defaultMemberUniqueName="[Brain_Pharmacy].[Manager].[All]" allUniqueName="[Brain_Pharmacy].[Manager].[All]" dimensionUniqueName="[Brain_Pharmacy]" displayFolder="" count="0" memberValueDatatype="130" unbalanced="0"/>
    <cacheHierarchy uniqueName="[Brain_Pharmacy].[Sales Team]" caption="Sales Team" attribute="1" defaultMemberUniqueName="[Brain_Pharmacy].[Sales Team].[All]" allUniqueName="[Brain_Pharmacy].[Sales Team].[All]" dimensionUniqueName="[Brain_Pharmacy]" displayFolder="" count="0" memberValueDatatype="130" unbalanced="0"/>
    <cacheHierarchy uniqueName="[Table3].[Number of Products]" caption="Number of Products" attribute="1" defaultMemberUniqueName="[Table3].[Number of Products].[All]" allUniqueName="[Table3].[Number of Products].[All]" dimensionUniqueName="[Table3]" displayFolder="" count="0" memberValueDatatype="20" unbalanced="0"/>
    <cacheHierarchy uniqueName="[Measures].[__XL_Count Brain_Pharmacy]" caption="__XL_Count Brain_Pharmacy" measure="1" displayFolder="" measureGroup="Brain_Pharmacy"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Count of Product Name]" caption="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Number of Products]" caption="Sum of Number of Products" measure="1" displayFolder="" measureGroup="Table3" count="0" hidden="1">
      <extLst>
        <ext xmlns:x15="http://schemas.microsoft.com/office/spreadsheetml/2010/11/main" uri="{B97F6D7D-B522-45F9-BDA1-12C45D357490}">
          <x15:cacheHierarchy aggregatedColumn="20"/>
        </ext>
      </extLst>
    </cacheHierarchy>
    <cacheHierarchy uniqueName="[Measures].[Distinct Count of Product Name]" caption="Distinct Count of Product Name" measure="1" displayFolder="" measureGroup="Brain_Pharmacy" count="0" hidden="1">
      <extLst>
        <ext xmlns:x15="http://schemas.microsoft.com/office/spreadsheetml/2010/11/main" uri="{B97F6D7D-B522-45F9-BDA1-12C45D357490}">
          <x15:cacheHierarchy aggregatedColumn="8"/>
        </ext>
      </extLst>
    </cacheHierarchy>
    <cacheHierarchy uniqueName="[Measures].[Sum of Gross Sales]" caption="Sum of Gross Sales" measure="1" displayFolder="" measureGroup="Brain_Pharmacy"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Brain_Pharmacy" count="0" hidden="1">
      <extLst>
        <ext xmlns:x15="http://schemas.microsoft.com/office/spreadsheetml/2010/11/main" uri="{B97F6D7D-B522-45F9-BDA1-12C45D357490}">
          <x15:cacheHierarchy aggregatedColumn="12"/>
        </ext>
      </extLst>
    </cacheHierarchy>
    <cacheHierarchy uniqueName="[Measures].[Sum of Returns (Negative Sales)]" caption="Sum of Returns (Negative Sales)" measure="1" displayFolder="" measureGroup="Brain_Pharmacy"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Brain_Pharmacy" count="0" hidden="1">
      <extLst>
        <ext xmlns:x15="http://schemas.microsoft.com/office/spreadsheetml/2010/11/main" uri="{B97F6D7D-B522-45F9-BDA1-12C45D357490}">
          <x15:cacheHierarchy aggregatedColumn="10"/>
        </ext>
      </extLst>
    </cacheHierarchy>
    <cacheHierarchy uniqueName="[Measures].[Sum of Price]" caption="Sum of Price" measure="1" displayFolder="" measureGroup="Brain_Pharmacy"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Brain_Pharmacy" count="0" hidden="1">
      <extLst>
        <ext xmlns:x15="http://schemas.microsoft.com/office/spreadsheetml/2010/11/main" uri="{B97F6D7D-B522-45F9-BDA1-12C45D357490}">
          <x15:cacheHierarchy aggregatedColumn="11"/>
        </ext>
      </extLst>
    </cacheHierarchy>
    <cacheHierarchy uniqueName="[Measures].[Sum of Year]" caption="Sum of Year" measure="1" displayFolder="" measureGroup="Brain_Pharmacy"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3456877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ED7594-F7E7-4D4A-8E4F-D5D78D9B8BC4}" name="PivotTable1" cacheId="19" applyNumberFormats="0" applyBorderFormats="0" applyFontFormats="0" applyPatternFormats="0" applyAlignmentFormats="0" applyWidthHeightFormats="1" dataCaption="Values" tag="288a32ff-d4c6-4f13-99c5-4ec24ed5f56a" updatedVersion="8" minRefreshableVersion="3" useAutoFormatting="1" itemPrintTitles="1" createdVersion="8" indent="0" outline="1" outlineData="1" multipleFieldFilters="0">
  <location ref="AD4:AE6" firstHeaderRow="1" firstDataRow="1" firstDataCol="1"/>
  <pivotFields count="2">
    <pivotField dataField="1" subtotalTop="0" showAll="0" defaultSubtotal="0"/>
    <pivotField axis="axisRow" allDrilled="1" subtotalTop="0" showAll="0" measureFilter="1" dataSourceSort="1" defaultSubtotal="0" defaultAttributeDrillState="1">
      <items count="1">
        <item x="0"/>
      </items>
    </pivotField>
  </pivotFields>
  <rowFields count="1">
    <field x="1"/>
  </rowFields>
  <rowItems count="2">
    <i>
      <x/>
    </i>
    <i t="grand">
      <x/>
    </i>
  </rowItems>
  <colItems count="1">
    <i/>
  </colItems>
  <dataFields count="1">
    <dataField name="Total Revenue" fld="0" baseField="0" baseItem="0"/>
  </dataFields>
  <formats count="3">
    <format dxfId="6">
      <pivotArea type="all" dataOnly="0" outline="0" fieldPosition="0"/>
    </format>
    <format dxfId="7">
      <pivotArea outline="0" collapsedLevelsAreSubtotals="1" fieldPosition="0"/>
    </format>
    <format dxfId="8">
      <pivotArea dataOnly="0" labelOnly="1" outline="0" axis="axisValues" fieldPosition="0"/>
    </format>
  </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7">
      <autoFilter ref="A1">
        <filterColumn colId="0">
          <top10 val="1" filterVal="1"/>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in_Pharmacy_Excel_Project.xlsx!Brain_Pharmacy">
        <x15:activeTabTopLevelEntity name="[Brain_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902F58-472E-4205-A111-171920199C60}" name="PivotTable13" cacheId="5" applyNumberFormats="0" applyBorderFormats="0" applyFontFormats="0" applyPatternFormats="0" applyAlignmentFormats="0" applyWidthHeightFormats="1" dataCaption="Values" tag="d085b9e8-3428-461e-b069-80a018ae1959" updatedVersion="8" minRefreshableVersion="3" useAutoFormatting="1" subtotalHiddenItems="1" itemPrintTitles="1" createdVersion="8" indent="0" outline="1" outlineData="1" multipleFieldFilters="0" chartFormat="5">
  <location ref="W4:X11"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4"/>
    </i>
    <i>
      <x v="5"/>
    </i>
    <i>
      <x v="1"/>
    </i>
    <i>
      <x v="2"/>
    </i>
    <i>
      <x/>
    </i>
    <i>
      <x v="3"/>
    </i>
    <i t="grand">
      <x/>
    </i>
  </rowItems>
  <colItems count="1">
    <i/>
  </colItems>
  <dataFields count="1">
    <dataField name="Sum of Gross Sales" fld="1" baseField="0" baseItem="0"/>
  </dataFields>
  <formats count="4">
    <format dxfId="12">
      <pivotArea type="all" dataOnly="0" outline="0" fieldPosition="0"/>
    </format>
    <format dxfId="11">
      <pivotArea outline="0" collapsedLevelsAreSubtotals="1" fieldPosition="0"/>
    </format>
    <format dxfId="10">
      <pivotArea dataOnly="0" labelOnly="1" outline="0" axis="axisValues" fieldPosition="0"/>
    </format>
    <format dxfId="9">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in_Pharmacy_Excel_Project.xlsx!Brain_Pharmacy">
        <x15:activeTabTopLevelEntity name="[Brain_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023ECB-B32C-4BC4-B3EB-589599E5F101}" name="PivotTable15" cacheId="7" dataOnRows="1" applyNumberFormats="0" applyBorderFormats="0" applyFontFormats="0" applyPatternFormats="0" applyAlignmentFormats="0" applyWidthHeightFormats="1" dataCaption="Values" tag="752e17b1-e1e6-4486-861d-22de1485e96d" updatedVersion="8" minRefreshableVersion="3" useAutoFormatting="1" subtotalHiddenItems="1" itemPrintTitles="1" createdVersion="8" indent="0" outline="1" outlineData="1" multipleFieldFilters="0" chartFormat="5">
  <location ref="O4:P7" firstHeaderRow="1" firstDataRow="1" firstDataCol="1"/>
  <pivotFields count="4">
    <pivotField allDrilled="1" subtotalTop="0" showAll="0" measureFilter="1"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Sum of Gross Sales" fld="1" baseField="0" baseItem="0"/>
  </dataFields>
  <formats count="4">
    <format dxfId="16">
      <pivotArea type="all" dataOnly="0" outline="0" fieldPosition="0"/>
    </format>
    <format dxfId="15">
      <pivotArea outline="0" collapsedLevelsAreSubtotals="1" fieldPosition="0"/>
    </format>
    <format dxfId="14">
      <pivotArea dataOnly="0" labelOnly="1" outline="0" axis="axisValues" fieldPosition="0"/>
    </format>
    <format dxfId="13">
      <pivotArea collapsedLevelsAreSubtotals="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9">
      <autoFilter ref="A1">
        <filterColumn colId="0">
          <top10 top="0" val="2" filterVal="2"/>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in_Pharmacy_Excel_Project.xlsx!Brain_Pharmacy">
        <x15:activeTabTopLevelEntity name="[Brain_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DC4FBC-84D8-404A-8D0B-642387A8E571}" name="PivotTable18" cacheId="0" dataOnRows="1" applyNumberFormats="0" applyBorderFormats="0" applyFontFormats="0" applyPatternFormats="0" applyAlignmentFormats="0" applyWidthHeightFormats="1" dataCaption="Values" tag="70692875-47d4-4a37-8696-12269938d575" updatedVersion="8" minRefreshableVersion="3" useAutoFormatting="1" subtotalHiddenItems="1" itemPrintTitles="1" createdVersion="8" indent="0" outline="1" outlineData="1" multipleFieldFilters="0" chartFormat="6">
  <location ref="B4:C10"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3"/>
    </i>
    <i>
      <x v="2"/>
    </i>
    <i>
      <x v="1"/>
    </i>
    <i>
      <x/>
    </i>
    <i t="grand">
      <x/>
    </i>
  </rowItems>
  <colItems count="1">
    <i/>
  </colItems>
  <dataFields count="1">
    <dataField name="Sum of Gross Sales" fld="1" baseField="0" baseItem="0"/>
  </dataFields>
  <formats count="4">
    <format dxfId="20">
      <pivotArea type="all" dataOnly="0" outline="0" fieldPosition="0"/>
    </format>
    <format dxfId="19">
      <pivotArea outline="0" collapsedLevelsAreSubtotals="1" fieldPosition="0"/>
    </format>
    <format dxfId="18">
      <pivotArea dataOnly="0" labelOnly="1" outline="0" axis="axisValues" fieldPosition="0"/>
    </format>
    <format dxfId="17">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27">
      <autoFilter ref="A1">
        <filterColumn colId="0">
          <top10 top="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in_Pharmacy_Excel_Project.xlsx!Brain_Pharmacy">
        <x15:activeTabTopLevelEntity name="[Brain_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434895-55AD-441B-89C2-E4C44E5320F2}" name="PivotTable17" cacheId="9" dataOnRows="1" applyNumberFormats="0" applyBorderFormats="0" applyFontFormats="0" applyPatternFormats="0" applyAlignmentFormats="0" applyWidthHeightFormats="1" dataCaption="Values" tag="c3c4f1ff-303e-4080-a637-cf2b39bf278e" updatedVersion="8" minRefreshableVersion="3" useAutoFormatting="1" subtotalHiddenItems="1" itemPrintTitles="1" createdVersion="8" indent="0" outline="1" outlineData="1" multipleFieldFilters="0" chartFormat="5">
  <location ref="G4:H10"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i>
    <i>
      <x v="2"/>
    </i>
    <i>
      <x v="3"/>
    </i>
    <i t="grand">
      <x/>
    </i>
  </rowItems>
  <colItems count="1">
    <i/>
  </colItems>
  <dataFields count="1">
    <dataField name="Sum of Gross Sales" fld="1" baseField="0" baseItem="0"/>
  </dataFields>
  <formats count="4">
    <format dxfId="24">
      <pivotArea type="all" dataOnly="0" outline="0" fieldPosition="0"/>
    </format>
    <format dxfId="23">
      <pivotArea outline="0" collapsedLevelsAreSubtotals="1" fieldPosition="0"/>
    </format>
    <format dxfId="22">
      <pivotArea dataOnly="0" labelOnly="1" outline="0" axis="axisValues" fieldPosition="0"/>
    </format>
    <format dxfId="21">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27">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in_Pharmacy_Excel_Project.xlsx!Brain_Pharmacy">
        <x15:activeTabTopLevelEntity name="[Brain_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380A86-49BD-4F83-ADE8-6C86F69F7D28}" name="PivotTable7" cacheId="11" applyNumberFormats="0" applyBorderFormats="0" applyFontFormats="0" applyPatternFormats="0" applyAlignmentFormats="0" applyWidthHeightFormats="1" dataCaption="Values" tag="67153fe1-945e-4fd8-a829-4b07ee08b084" updatedVersion="8" minRefreshableVersion="3" useAutoFormatting="1" itemPrintTitles="1" createdVersion="8" indent="0" outline="1" outlineData="1" multipleFieldFilters="0">
  <location ref="AA9:A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et Revenue" fld="0" baseField="0" baseItem="0"/>
  </dataFields>
  <formats count="3">
    <format dxfId="27">
      <pivotArea type="all" dataOnly="0" outline="0" fieldPosition="0"/>
    </format>
    <format dxfId="26">
      <pivotArea outline="0" collapsedLevelsAreSubtotals="1" fieldPosition="0"/>
    </format>
    <format dxfId="25">
      <pivotArea dataOnly="0" labelOnly="1" outline="0" axis="axisValues" fieldPosition="0"/>
    </format>
  </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caption="Net Revenue"/>
    <pivotHierarchy dragToData="1" caption="Net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in_Pharmacy_Excel_Project.xlsx!Brain_Pharmacy">
        <x15:activeTabTopLevelEntity name="[Brain_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534AC4-AC63-4129-B92D-07916C702B5D}" name="Number of Products Sold" cacheId="1" applyNumberFormats="0" applyBorderFormats="0" applyFontFormats="0" applyPatternFormats="0" applyAlignmentFormats="0" applyWidthHeightFormats="1" dataCaption="Values" tag="f24eda1f-e3a7-4303-80a1-60d180529ab8" updatedVersion="8" minRefreshableVersion="3" useAutoFormatting="1" itemPrintTitles="1" createdVersion="8" indent="0" outline="1" outlineData="1" multipleFieldFilters="0">
  <location ref="AA13:A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ber of Products Sold" fld="0" subtotal="count" baseField="0" baseItem="0">
      <extLst>
        <ext xmlns:x15="http://schemas.microsoft.com/office/spreadsheetml/2010/11/main" uri="{FABC7310-3BB5-11E1-824E-6D434824019B}">
          <x15:dataField isCountDistinct="1"/>
        </ext>
      </extLst>
    </dataField>
  </dataFields>
  <formats count="3">
    <format dxfId="30">
      <pivotArea type="all" dataOnly="0" outline="0" fieldPosition="0"/>
    </format>
    <format dxfId="29">
      <pivotArea outline="0" collapsedLevelsAreSubtotals="1" fieldPosition="0"/>
    </format>
    <format dxfId="28">
      <pivotArea dataOnly="0" labelOnly="1" outline="0" axis="axisValues" fieldPosition="0"/>
    </format>
  </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Number of Products Sol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in_Pharmacy_Excel_Project.xlsx!Brain_Pharmacy">
        <x15:activeTabTopLevelEntity name="[Brain_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619474-DA30-4003-B481-63D613BE2B40}" name="PivotTable14" cacheId="6" applyNumberFormats="0" applyBorderFormats="0" applyFontFormats="0" applyPatternFormats="0" applyAlignmentFormats="0" applyWidthHeightFormats="1" dataCaption="Values" tag="f31ad1f3-0af6-46b4-9a10-629dec68a48e" updatedVersion="8" minRefreshableVersion="3" useAutoFormatting="1" subtotalHiddenItems="1" itemPrintTitles="1" createdVersion="8" indent="0" outline="1" outlineData="1" multipleFieldFilters="0" chartFormat="6">
  <location ref="S4:T7" firstHeaderRow="1" firstDataRow="1" firstDataCol="1"/>
  <pivotFields count="3">
    <pivotField axis="axisRow" allDrilled="1" subtotalTop="0" showAll="0" measureFilter="1"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turns (Negative Sales)" fld="1" baseField="0" baseItem="0"/>
  </dataFields>
  <formats count="4">
    <format dxfId="34">
      <pivotArea type="all" dataOnly="0" outline="0" fieldPosition="0"/>
    </format>
    <format dxfId="33">
      <pivotArea outline="0" collapsedLevelsAreSubtotals="1" fieldPosition="0"/>
    </format>
    <format dxfId="32">
      <pivotArea dataOnly="0" labelOnly="1" outline="0" axis="axisValues" fieldPosition="0"/>
    </format>
    <format dxfId="31">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9">
      <autoFilter ref="A1">
        <filterColumn colId="0">
          <top10 top="0" val="2" filterVal="2"/>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in_Pharmacy_Excel_Project.xlsx!Brain_Pharmacy">
        <x15:activeTabTopLevelEntity name="[Brain_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2122E4-AB9A-4659-A6E8-07DE9788C41B}" name="PivotTable12" cacheId="4" applyNumberFormats="0" applyBorderFormats="0" applyFontFormats="0" applyPatternFormats="0" applyAlignmentFormats="0" applyWidthHeightFormats="1" dataCaption="Values" tag="72eb864f-43f8-454a-8d57-9ea7ad6bf06e" updatedVersion="8" minRefreshableVersion="3" useAutoFormatting="1" itemPrintTitles="1" createdVersion="8" indent="0" outline="1" outlineData="1" multipleFieldFilters="0">
  <location ref="AA28:AA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Product Price" fld="0" subtotal="average" baseField="0" baseItem="0"/>
  </dataFields>
  <formats count="3">
    <format dxfId="37">
      <pivotArea type="all" dataOnly="0" outline="0" fieldPosition="0"/>
    </format>
    <format dxfId="36">
      <pivotArea outline="0" collapsedLevelsAreSubtotals="1" fieldPosition="0"/>
    </format>
    <format dxfId="35">
      <pivotArea dataOnly="0" labelOnly="1" outline="0" axis="axisValues" fieldPosition="0"/>
    </format>
  </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Number of Products Sold"/>
    <pivotHierarchy dragToData="1"/>
    <pivotHierarchy dragToData="1"/>
    <pivotHierarchy dragToData="1" caption="Total Returned Value"/>
    <pivotHierarchy dragToData="1"/>
    <pivotHierarchy dragToData="1"/>
    <pivotHierarchy dragToData="1" caption="Average Product Pric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in_Pharmacy_Excel_Project.xlsx!Brain_Pharmacy">
        <x15:activeTabTopLevelEntity name="[Brain_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3922EA-528B-49F5-B5D2-B3E754CFBDFF}" name="PivotTable6" cacheId="10" applyNumberFormats="0" applyBorderFormats="0" applyFontFormats="0" applyPatternFormats="0" applyAlignmentFormats="0" applyWidthHeightFormats="1" dataCaption="Values" tag="288a32ff-d4c6-4f13-99c5-4ec24ed5f56a" updatedVersion="8" minRefreshableVersion="3" useAutoFormatting="1" itemPrintTitles="1" createdVersion="8" indent="0" outline="1" outlineData="1" multipleFieldFilters="0">
  <location ref="AA4:A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formats count="3">
    <format dxfId="40">
      <pivotArea type="all" dataOnly="0" outline="0" fieldPosition="0"/>
    </format>
    <format dxfId="39">
      <pivotArea outline="0" collapsedLevelsAreSubtotals="1" fieldPosition="0"/>
    </format>
    <format dxfId="38">
      <pivotArea dataOnly="0" labelOnly="1" outline="0" axis="axisValues" fieldPosition="0"/>
    </format>
  </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in_Pharmacy_Excel_Project.xlsx!Brain_Pharmacy">
        <x15:activeTabTopLevelEntity name="[Brain_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42DB55-8202-4A2C-950E-BAB5D740EAC9}" name="PivotTable11" cacheId="3" applyNumberFormats="0" applyBorderFormats="0" applyFontFormats="0" applyPatternFormats="0" applyAlignmentFormats="0" applyWidthHeightFormats="1" dataCaption="Values" tag="d4e2014a-9d95-4b7a-874f-a3933e509a94" updatedVersion="8" minRefreshableVersion="3" useAutoFormatting="1" itemPrintTitles="1" createdVersion="8" indent="0" outline="1" outlineData="1" multipleFieldFilters="0">
  <location ref="AA23:AA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Units Sold" fld="0" baseField="0" baseItem="0"/>
  </dataFields>
  <formats count="3">
    <format dxfId="43">
      <pivotArea type="all" dataOnly="0" outline="0" fieldPosition="0"/>
    </format>
    <format dxfId="42">
      <pivotArea outline="0" collapsedLevelsAreSubtotals="1" fieldPosition="0"/>
    </format>
    <format dxfId="41">
      <pivotArea dataOnly="0" labelOnly="1" outline="0" axis="axisValues" fieldPosition="0"/>
    </format>
  </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Number of Products Sold"/>
    <pivotHierarchy dragToData="1"/>
    <pivotHierarchy dragToData="1"/>
    <pivotHierarchy dragToData="1" caption="Total Returned Value"/>
    <pivotHierarchy dragToData="1" caption="Total Units Sol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in_Pharmacy_Excel_Project.xlsx!Brain_Pharmacy">
        <x15:activeTabTopLevelEntity name="[Brain_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91E639-512A-47CD-9B99-67ADB97DD235}" name="PivotTable10" cacheId="2" applyNumberFormats="0" applyBorderFormats="0" applyFontFormats="0" applyPatternFormats="0" applyAlignmentFormats="0" applyWidthHeightFormats="1" dataCaption="Values" tag="0d0c6b93-39ca-4693-92c3-9fb910f28f41" updatedVersion="8" minRefreshableVersion="3" useAutoFormatting="1" itemPrintTitles="1" createdVersion="8" indent="0" outline="1" outlineData="1" multipleFieldFilters="0">
  <location ref="AA18:A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turned Value" fld="0" baseField="0" baseItem="0"/>
  </dataFields>
  <formats count="3">
    <format dxfId="46">
      <pivotArea type="all" dataOnly="0" outline="0" fieldPosition="0"/>
    </format>
    <format dxfId="45">
      <pivotArea outline="0" collapsedLevelsAreSubtotals="1" fieldPosition="0"/>
    </format>
    <format dxfId="44">
      <pivotArea dataOnly="0" labelOnly="1" outline="0" axis="axisValues" fieldPosition="0"/>
    </format>
  </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Number of Products Sold"/>
    <pivotHierarchy dragToData="1"/>
    <pivotHierarchy dragToData="1"/>
    <pivotHierarchy dragToData="1" caption="Total Returned Val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in_Pharmacy_Excel_Project.xlsx!Brain_Pharmacy">
        <x15:activeTabTopLevelEntity name="[Brain_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438813-C5FE-49C5-AE51-11925718A34B}" name="PivotTable16" cacheId="8" dataOnRows="1" applyNumberFormats="0" applyBorderFormats="0" applyFontFormats="0" applyPatternFormats="0" applyAlignmentFormats="0" applyWidthHeightFormats="1" dataCaption="Values" tag="4bffd902-bd43-44b7-86cb-fa890e502531" updatedVersion="8" minRefreshableVersion="3" useAutoFormatting="1" subtotalHiddenItems="1" itemPrintTitles="1" createdVersion="8" indent="0" outline="1" outlineData="1" multipleFieldFilters="0" chartFormat="4">
  <location ref="K4:L7" firstHeaderRow="1" firstDataRow="1" firstDataCol="1"/>
  <pivotFields count="4">
    <pivotField allDrilled="1" subtotalTop="0" showAll="0" measureFilter="1"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Sum of Gross Sales" fld="1" baseField="0" baseItem="0" numFmtId="164"/>
  </dataFields>
  <formats count="4">
    <format dxfId="50">
      <pivotArea type="all" dataOnly="0" outline="0" fieldPosition="0"/>
    </format>
    <format dxfId="49">
      <pivotArea outline="0" collapsedLevelsAreSubtotals="1" fieldPosition="0"/>
    </format>
    <format dxfId="48">
      <pivotArea dataOnly="0" labelOnly="1" outline="0" axis="axisValues" fieldPosition="0"/>
    </format>
    <format dxfId="4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9">
      <autoFilter ref="A1">
        <filterColumn colId="0">
          <top10 top="0" val="2" filterVal="2"/>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rain_Pharmacy_Excel_Project.xlsx!Brain_Pharmacy">
        <x15:activeTabTopLevelEntity name="[Brain_Pharmac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15CFFFF-7747-42D5-9100-17F3E52AE552}" autoFormatId="16" applyNumberFormats="0" applyBorderFormats="0" applyFontFormats="0" applyPatternFormats="0" applyAlignmentFormats="0" applyWidthHeightFormats="0">
  <queryTableRefresh nextId="26">
    <queryTableFields count="20">
      <queryTableField id="1" name="Distributor" tableColumnId="1"/>
      <queryTableField id="2" name="Customer Name" tableColumnId="2"/>
      <queryTableField id="3" name="City" tableColumnId="3"/>
      <queryTableField id="4" name="Country" tableColumnId="4"/>
      <queryTableField id="5" name="Latitude" tableColumnId="5"/>
      <queryTableField id="6" name="Longitude" tableColumnId="6"/>
      <queryTableField id="7" name="Channel" tableColumnId="7"/>
      <queryTableField id="8" name="Sub-channel" tableColumnId="8"/>
      <queryTableField id="9" name="Product Name" tableColumnId="9"/>
      <queryTableField id="10" name="Product Class" tableColumnId="10"/>
      <queryTableField id="11" name="Quantity" tableColumnId="11"/>
      <queryTableField id="12" name="Price" tableColumnId="12"/>
      <queryTableField id="13" name="Sales" tableColumnId="13"/>
      <queryTableField id="22" name="Gross Sales" tableColumnId="22"/>
      <queryTableField id="23" name="Returns (Negative Sales)" tableColumnId="23"/>
      <queryTableField id="14" name="Month" tableColumnId="14"/>
      <queryTableField id="15" name="Year" tableColumnId="15"/>
      <queryTableField id="16" name="Name of Sales Rep" tableColumnId="16"/>
      <queryTableField id="17" name="Manager" tableColumnId="17"/>
      <queryTableField id="18" name="Sales Team"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D1F283A7-66F4-4489-ADDC-EBC1CD5CC27B}" sourceName="[Brain_Pharmacy].[Channel]">
  <pivotTables>
    <pivotTable tabId="3" name="PivotTable18"/>
    <pivotTable tabId="3" name="Number of Products Sold"/>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6"/>
    <pivotTable tabId="3" name="PivotTable7"/>
    <pivotTable tabId="3" name="PivotTable1"/>
  </pivotTables>
  <data>
    <olap pivotCacheId="1345687714">
      <levels count="2">
        <level uniqueName="[Brain_Pharmacy].[Channel].[(All)]" sourceCaption="(All)" count="0"/>
        <level uniqueName="[Brain_Pharmacy].[Channel].[Channel]" sourceCaption="Channel" count="2">
          <ranges>
            <range startItem="0">
              <i n="[Brain_Pharmacy].[Channel].&amp;[Hospital]" c="Hospital"/>
              <i n="[Brain_Pharmacy].[Channel].&amp;[Pharmacy]" c="Pharmacy"/>
            </range>
          </ranges>
        </level>
      </levels>
      <selections count="1">
        <selection n="[Brain_Pharmacy].[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92DD5623-DC7E-4269-8FC0-AD1F58790641}" sourceName="[Brain_Pharmacy].[Country]">
  <pivotTables>
    <pivotTable tabId="3" name="PivotTable18"/>
    <pivotTable tabId="3" name="Number of Products Sold"/>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6"/>
    <pivotTable tabId="3" name="PivotTable7"/>
    <pivotTable tabId="3" name="PivotTable1"/>
  </pivotTables>
  <data>
    <olap pivotCacheId="1345687714">
      <levels count="2">
        <level uniqueName="[Brain_Pharmacy].[Country].[(All)]" sourceCaption="(All)" count="0"/>
        <level uniqueName="[Brain_Pharmacy].[Country].[Country]" sourceCaption="Country" count="2">
          <ranges>
            <range startItem="0">
              <i n="[Brain_Pharmacy].[Country].&amp;[Germany]" c="Germany"/>
              <i n="[Brain_Pharmacy].[Country].&amp;[Poland]" c="Poland"/>
            </range>
          </ranges>
        </level>
      </levels>
      <selections count="1">
        <selection n="[Brain_Pharmacy].[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lass1" xr10:uid="{09AE8CEB-DE14-4806-951C-67D7E13F41D0}" sourceName="[Brain_Pharmacy].[Product Class]">
  <pivotTables>
    <pivotTable tabId="3" name="PivotTable18"/>
    <pivotTable tabId="3" name="Number of Products Sold"/>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6"/>
    <pivotTable tabId="3" name="PivotTable7"/>
    <pivotTable tabId="3" name="PivotTable1"/>
  </pivotTables>
  <data>
    <olap pivotCacheId="1345687714">
      <levels count="2">
        <level uniqueName="[Brain_Pharmacy].[Product Class].[(All)]" sourceCaption="(All)" count="0"/>
        <level uniqueName="[Brain_Pharmacy].[Product Class].[Product Class]" sourceCaption="Product Class" count="6">
          <ranges>
            <range startItem="0">
              <i n="[Brain_Pharmacy].[Product Class].&amp;[Analgesics]" c="Analgesics"/>
              <i n="[Brain_Pharmacy].[Product Class].&amp;[Antibiotics]" c="Antibiotics"/>
              <i n="[Brain_Pharmacy].[Product Class].&amp;[Antimalarial]" c="Antimalarial"/>
              <i n="[Brain_Pharmacy].[Product Class].&amp;[Antipiretics]" c="Antipiretics"/>
              <i n="[Brain_Pharmacy].[Product Class].&amp;[Antiseptics]" c="Antiseptics"/>
              <i n="[Brain_Pharmacy].[Product Class].&amp;[Mood Stabilizers]" c="Mood Stabilizers"/>
            </range>
          </ranges>
        </level>
      </levels>
      <selections count="1">
        <selection n="[Brain_Pharmacy].[Product Clas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9CD2962-09B1-4019-B6B2-C2ACD08DF3CE}" sourceName="[Brain_Pharmacy].[Year]">
  <pivotTables>
    <pivotTable tabId="3" name="PivotTable18"/>
    <pivotTable tabId="3" name="Number of Products Sold"/>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6"/>
    <pivotTable tabId="3" name="PivotTable7"/>
    <pivotTable tabId="3" name="PivotTable1"/>
  </pivotTables>
  <data>
    <olap pivotCacheId="1345687714">
      <levels count="2">
        <level uniqueName="[Brain_Pharmacy].[Year].[(All)]" sourceCaption="(All)" count="0"/>
        <level uniqueName="[Brain_Pharmacy].[Year].[Year]" sourceCaption="Year" count="2">
          <ranges>
            <range startItem="0">
              <i n="[Brain_Pharmacy].[Year].&amp;[2017]" c="2017"/>
              <i n="[Brain_Pharmacy].[Year].&amp;[2018]" c="2018"/>
            </range>
          </ranges>
        </level>
      </levels>
      <selections count="1">
        <selection n="[Brain_Pharmacy].[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2" xr10:uid="{195DEAD1-1F59-49A1-A8B2-D73A456E8FB9}" cache="Slicer_Channel1" caption="Channel" level="1" style="Slicer Style 2" rowHeight="219456"/>
  <slicer name="Country 2" xr10:uid="{6794BBAF-F4A6-4F4B-A32B-D89144BD481F}" cache="Slicer_Country1" caption="Country" columnCount="2" level="1" style="Slicer Style 2" rowHeight="219456"/>
  <slicer name="Product Class 2" xr10:uid="{64E9F7A8-D127-40C9-AE1F-51F6CB2B1310}" cache="Slicer_Product_Class1" caption="Product Class" level="1" style="Slicer Style 2" rowHeight="219456"/>
  <slicer name="Year 2" xr10:uid="{E7E4C9A5-6FD5-45AB-A606-3D065F446DCC}" cache="Slicer_Year1" caption="Year" columnCount="2" level="1" style="Slicer Style 2" rowHeight="219456"/>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AA2435-30DE-4C8F-B8A5-ECE9336C1F26}" name="Table2" displayName="Table2" ref="A1:R338" totalsRowCount="1" headerRowDxfId="67">
  <autoFilter ref="A1:R337" xr:uid="{EEAA2435-30DE-4C8F-B8A5-ECE9336C1F26}"/>
  <tableColumns count="18">
    <tableColumn id="1" xr3:uid="{F8D75B11-4615-4F09-8F62-294834CF0D52}" name="Distributor"/>
    <tableColumn id="2" xr3:uid="{7769EEEA-BE4F-4D41-8276-4D2AFB00BF51}" name="Customer Name"/>
    <tableColumn id="3" xr3:uid="{CE9B0F80-DBAB-4715-B4D2-F6F3EFF41A0E}" name="City" dataDxfId="66" totalsRowDxfId="65"/>
    <tableColumn id="4" xr3:uid="{267EB6BB-54F4-4058-8D62-48D25ADA894D}" name="Country"/>
    <tableColumn id="5" xr3:uid="{C7C9AC91-5E7E-41C1-AC12-BDFA32E538F8}" name="Latitude"/>
    <tableColumn id="6" xr3:uid="{BFEB988E-BBD4-4B5F-94E9-B79D21793055}" name="Longitude"/>
    <tableColumn id="7" xr3:uid="{5AF985E5-0008-4E25-81E0-AF745A2FC6E4}" name="Channel"/>
    <tableColumn id="8" xr3:uid="{686E594C-F44E-4265-8B87-E14394A36162}" name="Sub-channel"/>
    <tableColumn id="9" xr3:uid="{9C185512-B1C0-470F-B466-50D3558C23A5}" name="Product Name"/>
    <tableColumn id="10" xr3:uid="{5E23FC2C-B635-458B-ADB7-D0F6554D8580}" name="Product Class"/>
    <tableColumn id="11" xr3:uid="{B922FA2F-A29B-44DE-AA40-6C488C0E8977}" name="Quantity" dataDxfId="64" totalsRowDxfId="63"/>
    <tableColumn id="12" xr3:uid="{AC2B12CF-5C00-43F3-94C0-2AFC0F705F39}" name="Price"/>
    <tableColumn id="13" xr3:uid="{CB7B08B0-D4CB-4F10-960C-B9489ABFAF84}" name="Sales"/>
    <tableColumn id="14" xr3:uid="{9E3CF01E-6F24-4D74-AD98-FB2568F7851C}" name="Month"/>
    <tableColumn id="15" xr3:uid="{2271D945-6B63-4A45-9AA5-9332FC1BEA2D}" name="Year"/>
    <tableColumn id="16" xr3:uid="{8357FE73-CBE8-448D-9B0D-473156A5C3B4}" name="Name of Sales Rep"/>
    <tableColumn id="17" xr3:uid="{84F59B7D-AC6F-4267-AB49-661A74B117A7}" name="Manager"/>
    <tableColumn id="18" xr3:uid="{2588E89E-4FD1-4280-A81F-6CD2E5DA023E}" name="Sales Tea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68E38E-43B3-4743-8DEB-FBD0B54E3DEA}" name="Brain_Pharmacy" displayName="Brain_Pharmacy" ref="A1:T338" tableType="queryTable" totalsRowCount="1">
  <autoFilter ref="A1:T337" xr:uid="{F668E38E-43B3-4743-8DEB-FBD0B54E3DEA}"/>
  <tableColumns count="20">
    <tableColumn id="1" xr3:uid="{5C101FF0-8C19-4F51-8436-93E26A183F3D}" uniqueName="1" name="Distributor" queryTableFieldId="1" dataDxfId="62"/>
    <tableColumn id="2" xr3:uid="{A5F9109F-4FE6-4CB7-B1AE-EC7549ACE090}" uniqueName="2" name="Customer Name" queryTableFieldId="2" dataDxfId="61"/>
    <tableColumn id="3" xr3:uid="{80DF55F1-C3B1-4A0A-8B9E-CC791C20C3C0}" uniqueName="3" name="City" queryTableFieldId="3" dataDxfId="60"/>
    <tableColumn id="4" xr3:uid="{AE6B32C0-5CB8-4D0D-B49A-98E8A5E8B96A}" uniqueName="4" name="Country" queryTableFieldId="4" dataDxfId="59"/>
    <tableColumn id="5" xr3:uid="{7B4E5D34-5DC4-4D8F-99FE-70E3873C477F}" uniqueName="5" name="Latitude" queryTableFieldId="5"/>
    <tableColumn id="6" xr3:uid="{5A0C403C-7489-496D-8339-86ACCF522696}" uniqueName="6" name="Longitude" queryTableFieldId="6"/>
    <tableColumn id="7" xr3:uid="{AE40DD2D-13B4-4FD1-BDF2-63984CC6EF26}" uniqueName="7" name="Channel" queryTableFieldId="7" dataDxfId="58"/>
    <tableColumn id="8" xr3:uid="{E0D5E691-D4FA-4C32-9DCB-23E22FB3E6E2}" uniqueName="8" name="Sub-channel" queryTableFieldId="8" dataDxfId="57"/>
    <tableColumn id="9" xr3:uid="{6EEFE300-898D-4022-80F2-3C6280CB7F36}" uniqueName="9" name="Product Name" queryTableFieldId="9" dataDxfId="56"/>
    <tableColumn id="10" xr3:uid="{9CEB4253-8C77-4115-A987-7899F0281D35}" uniqueName="10" name="Product Class" queryTableFieldId="10" dataDxfId="55"/>
    <tableColumn id="11" xr3:uid="{81E7E255-7032-46F0-BF4C-25BEF4DD62C9}" uniqueName="11" name="Quantity" queryTableFieldId="11"/>
    <tableColumn id="12" xr3:uid="{7A834A07-2B00-4C14-937C-9551D1939702}" uniqueName="12" name="Price" queryTableFieldId="12"/>
    <tableColumn id="13" xr3:uid="{643614A4-AE2D-4161-87EB-BB637668CA0C}" uniqueName="13" name="Sales" queryTableFieldId="13"/>
    <tableColumn id="22" xr3:uid="{B0C7B640-AC29-4623-A470-5ADDBF132FA3}" uniqueName="22" name="Gross Sales" queryTableFieldId="22"/>
    <tableColumn id="23" xr3:uid="{8C1AADB9-49EF-4024-B564-0F7BE9D08405}" uniqueName="23" name="Returns (Negative Sales)" queryTableFieldId="23"/>
    <tableColumn id="14" xr3:uid="{639B81D9-F5E5-4DB8-9908-7286580279EC}" uniqueName="14" name="Month" queryTableFieldId="14" dataDxfId="54"/>
    <tableColumn id="15" xr3:uid="{297E13CB-C425-4F53-937E-A701B2F2B117}" uniqueName="15" name="Year" queryTableFieldId="15"/>
    <tableColumn id="16" xr3:uid="{60CC0BF2-A25C-418E-9F7B-8978ADBDCA45}" uniqueName="16" name="Name of Sales Rep" queryTableFieldId="16" dataDxfId="53"/>
    <tableColumn id="17" xr3:uid="{D2ABC1C4-2A79-4BA9-8696-D5370E1FA9F3}" uniqueName="17" name="Manager" queryTableFieldId="17" dataDxfId="52"/>
    <tableColumn id="18" xr3:uid="{8E3F4966-5CF1-4DCA-8998-AB6921269DAB}" uniqueName="18" name="Sales Team" queryTableFieldId="18" dataDxfId="5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9DB85-C7CD-439D-8254-B9ADC7218F38}">
  <dimension ref="A1:R338"/>
  <sheetViews>
    <sheetView workbookViewId="0">
      <selection sqref="A1:R337"/>
    </sheetView>
  </sheetViews>
  <sheetFormatPr defaultRowHeight="14.5" x14ac:dyDescent="0.35"/>
  <cols>
    <col min="1" max="1" width="12" customWidth="1"/>
    <col min="2" max="2" width="16.36328125" customWidth="1"/>
    <col min="4" max="4" width="9.54296875" customWidth="1"/>
    <col min="5" max="5" width="9.7265625" customWidth="1"/>
    <col min="6" max="6" width="11.08984375" customWidth="1"/>
    <col min="7" max="7" width="9.6328125" customWidth="1"/>
    <col min="8" max="8" width="13.08984375" customWidth="1"/>
    <col min="9" max="9" width="14.81640625" customWidth="1"/>
    <col min="10" max="10" width="14.08984375" customWidth="1"/>
    <col min="11" max="11" width="10.1796875" customWidth="1"/>
    <col min="16" max="16" width="18.1796875" customWidth="1"/>
    <col min="17" max="17" width="10.26953125" customWidth="1"/>
    <col min="18" max="18" width="12.08984375" customWidth="1"/>
  </cols>
  <sheetData>
    <row r="1" spans="1:18" x14ac:dyDescent="0.35">
      <c r="A1" s="1" t="s">
        <v>0</v>
      </c>
      <c r="B1" s="1" t="s">
        <v>1</v>
      </c>
      <c r="C1" s="10" t="s">
        <v>2</v>
      </c>
      <c r="D1" s="1" t="s">
        <v>3</v>
      </c>
      <c r="E1" s="1" t="s">
        <v>4</v>
      </c>
      <c r="F1" s="1" t="s">
        <v>5</v>
      </c>
      <c r="G1" s="1" t="s">
        <v>6</v>
      </c>
      <c r="H1" s="1" t="s">
        <v>7</v>
      </c>
      <c r="I1" s="1" t="s">
        <v>8</v>
      </c>
      <c r="J1" s="1" t="s">
        <v>9</v>
      </c>
      <c r="K1" s="14" t="s">
        <v>10</v>
      </c>
      <c r="L1" s="1" t="s">
        <v>11</v>
      </c>
      <c r="M1" s="1" t="s">
        <v>12</v>
      </c>
      <c r="N1" s="1" t="s">
        <v>13</v>
      </c>
      <c r="O1" s="1" t="s">
        <v>14</v>
      </c>
      <c r="P1" s="1" t="s">
        <v>15</v>
      </c>
      <c r="Q1" s="1" t="s">
        <v>16</v>
      </c>
      <c r="R1" s="1" t="s">
        <v>17</v>
      </c>
    </row>
    <row r="2" spans="1:18" x14ac:dyDescent="0.35">
      <c r="A2" t="s">
        <v>635</v>
      </c>
      <c r="B2" t="s">
        <v>636</v>
      </c>
      <c r="C2" s="11" t="s">
        <v>20</v>
      </c>
      <c r="D2" t="s">
        <v>21</v>
      </c>
      <c r="E2">
        <v>51.2333</v>
      </c>
      <c r="F2">
        <v>22.566700000000001</v>
      </c>
      <c r="G2" t="s">
        <v>22</v>
      </c>
      <c r="H2" t="s">
        <v>23</v>
      </c>
      <c r="I2" t="s">
        <v>24</v>
      </c>
      <c r="J2" t="s">
        <v>25</v>
      </c>
      <c r="K2" s="15">
        <v>4</v>
      </c>
      <c r="L2">
        <v>368</v>
      </c>
      <c r="M2">
        <v>1472</v>
      </c>
      <c r="N2" t="s">
        <v>26</v>
      </c>
      <c r="O2">
        <v>2018</v>
      </c>
      <c r="P2" t="s">
        <v>27</v>
      </c>
      <c r="Q2" s="8" t="s">
        <v>28</v>
      </c>
      <c r="R2" t="s">
        <v>29</v>
      </c>
    </row>
    <row r="3" spans="1:18" x14ac:dyDescent="0.35">
      <c r="A3" t="s">
        <v>635</v>
      </c>
      <c r="B3" t="s">
        <v>637</v>
      </c>
      <c r="C3" s="11" t="s">
        <v>31</v>
      </c>
      <c r="D3" t="s">
        <v>21</v>
      </c>
      <c r="E3">
        <v>53.416699999999999</v>
      </c>
      <c r="F3">
        <v>18.433299999999999</v>
      </c>
      <c r="G3" t="s">
        <v>32</v>
      </c>
      <c r="H3" t="s">
        <v>33</v>
      </c>
      <c r="I3" t="s">
        <v>34</v>
      </c>
      <c r="J3" t="s">
        <v>35</v>
      </c>
      <c r="K3" s="15">
        <v>7</v>
      </c>
      <c r="L3">
        <v>591</v>
      </c>
      <c r="M3">
        <v>4137</v>
      </c>
      <c r="N3" t="s">
        <v>26</v>
      </c>
      <c r="O3">
        <v>2018</v>
      </c>
      <c r="P3" t="s">
        <v>36</v>
      </c>
      <c r="Q3" s="8" t="s">
        <v>28</v>
      </c>
      <c r="R3" t="s">
        <v>29</v>
      </c>
    </row>
    <row r="4" spans="1:18" x14ac:dyDescent="0.35">
      <c r="A4" t="s">
        <v>635</v>
      </c>
      <c r="B4" t="s">
        <v>37</v>
      </c>
      <c r="C4" s="11" t="s">
        <v>38</v>
      </c>
      <c r="D4" t="s">
        <v>21</v>
      </c>
      <c r="E4">
        <v>50.083300000000001</v>
      </c>
      <c r="F4">
        <v>18.5</v>
      </c>
      <c r="G4" t="s">
        <v>32</v>
      </c>
      <c r="H4" t="s">
        <v>39</v>
      </c>
      <c r="I4" s="9" t="s">
        <v>40</v>
      </c>
      <c r="J4" t="s">
        <v>35</v>
      </c>
      <c r="K4" s="15">
        <v>30</v>
      </c>
      <c r="L4">
        <v>66</v>
      </c>
      <c r="M4">
        <v>1980</v>
      </c>
      <c r="N4">
        <v>1</v>
      </c>
      <c r="O4">
        <v>2018</v>
      </c>
      <c r="P4" t="s">
        <v>41</v>
      </c>
      <c r="Q4" s="8" t="s">
        <v>42</v>
      </c>
      <c r="R4" t="s">
        <v>43</v>
      </c>
    </row>
    <row r="5" spans="1:18" x14ac:dyDescent="0.35">
      <c r="A5" t="s">
        <v>635</v>
      </c>
      <c r="B5" t="s">
        <v>44</v>
      </c>
      <c r="C5" s="11" t="s">
        <v>45</v>
      </c>
      <c r="D5" t="s">
        <v>638</v>
      </c>
      <c r="E5">
        <v>50.333300000000001</v>
      </c>
      <c r="F5">
        <v>19.083300000000001</v>
      </c>
      <c r="G5" t="s">
        <v>22</v>
      </c>
      <c r="H5" t="s">
        <v>23</v>
      </c>
      <c r="I5" s="9" t="s">
        <v>46</v>
      </c>
      <c r="J5" t="s">
        <v>47</v>
      </c>
      <c r="K5" s="15">
        <v>6</v>
      </c>
      <c r="L5">
        <v>435</v>
      </c>
      <c r="M5">
        <v>2610</v>
      </c>
      <c r="N5" t="s">
        <v>26</v>
      </c>
      <c r="O5">
        <v>2018</v>
      </c>
      <c r="P5" t="s">
        <v>27</v>
      </c>
      <c r="Q5" s="8" t="s">
        <v>28</v>
      </c>
      <c r="R5" t="s">
        <v>29</v>
      </c>
    </row>
    <row r="6" spans="1:18" x14ac:dyDescent="0.35">
      <c r="A6" t="s">
        <v>635</v>
      </c>
      <c r="B6" t="s">
        <v>48</v>
      </c>
      <c r="C6" s="11" t="s">
        <v>49</v>
      </c>
      <c r="D6" t="s">
        <v>21</v>
      </c>
      <c r="E6">
        <v>53.78</v>
      </c>
      <c r="F6">
        <v>20.494199999999999</v>
      </c>
      <c r="G6" t="s">
        <v>32</v>
      </c>
      <c r="H6" t="s">
        <v>33</v>
      </c>
      <c r="I6" s="9" t="s">
        <v>50</v>
      </c>
      <c r="J6" t="s">
        <v>47</v>
      </c>
      <c r="K6" s="15">
        <v>20</v>
      </c>
      <c r="L6">
        <v>458</v>
      </c>
      <c r="M6">
        <v>9160</v>
      </c>
      <c r="N6">
        <v>2</v>
      </c>
      <c r="O6">
        <v>2018</v>
      </c>
      <c r="P6" t="s">
        <v>52</v>
      </c>
      <c r="Q6" s="8" t="s">
        <v>28</v>
      </c>
      <c r="R6" t="s">
        <v>29</v>
      </c>
    </row>
    <row r="7" spans="1:18" x14ac:dyDescent="0.35">
      <c r="A7" t="s">
        <v>635</v>
      </c>
      <c r="B7" t="s">
        <v>53</v>
      </c>
      <c r="C7" s="11" t="s">
        <v>54</v>
      </c>
      <c r="D7" t="s">
        <v>21</v>
      </c>
      <c r="E7">
        <v>54.033299999999997</v>
      </c>
      <c r="F7">
        <v>22.5</v>
      </c>
      <c r="G7" t="s">
        <v>22</v>
      </c>
      <c r="H7" t="s">
        <v>23</v>
      </c>
      <c r="I7" s="9" t="s">
        <v>55</v>
      </c>
      <c r="J7" t="s">
        <v>25</v>
      </c>
      <c r="K7" s="15">
        <v>5</v>
      </c>
      <c r="L7">
        <v>123</v>
      </c>
      <c r="M7">
        <v>615</v>
      </c>
      <c r="N7">
        <v>9</v>
      </c>
      <c r="O7">
        <v>2018</v>
      </c>
      <c r="P7" t="s">
        <v>57</v>
      </c>
      <c r="Q7" s="8" t="s">
        <v>58</v>
      </c>
      <c r="R7" t="s">
        <v>59</v>
      </c>
    </row>
    <row r="8" spans="1:18" x14ac:dyDescent="0.35">
      <c r="A8" t="s">
        <v>635</v>
      </c>
      <c r="B8" t="s">
        <v>639</v>
      </c>
      <c r="C8" s="11" t="s">
        <v>61</v>
      </c>
      <c r="D8" t="s">
        <v>21</v>
      </c>
      <c r="E8">
        <v>52.7958</v>
      </c>
      <c r="F8">
        <v>18.261099999999999</v>
      </c>
      <c r="G8" t="s">
        <v>32</v>
      </c>
      <c r="H8" t="s">
        <v>33</v>
      </c>
      <c r="I8" s="9" t="s">
        <v>62</v>
      </c>
      <c r="J8" t="s">
        <v>47</v>
      </c>
      <c r="K8" s="15">
        <v>20</v>
      </c>
      <c r="L8">
        <v>536</v>
      </c>
      <c r="M8">
        <v>10</v>
      </c>
      <c r="N8" t="s">
        <v>26</v>
      </c>
      <c r="O8">
        <v>2018</v>
      </c>
      <c r="P8" t="s">
        <v>63</v>
      </c>
      <c r="Q8" s="8" t="s">
        <v>28</v>
      </c>
      <c r="R8" t="s">
        <v>29</v>
      </c>
    </row>
    <row r="9" spans="1:18" x14ac:dyDescent="0.35">
      <c r="A9" t="s">
        <v>635</v>
      </c>
      <c r="B9" t="s">
        <v>64</v>
      </c>
      <c r="C9" s="11" t="s">
        <v>65</v>
      </c>
      <c r="D9" t="s">
        <v>21</v>
      </c>
      <c r="E9">
        <v>52.881700000000002</v>
      </c>
      <c r="F9">
        <v>20.610600000000002</v>
      </c>
      <c r="G9" t="s">
        <v>32</v>
      </c>
      <c r="H9" t="s">
        <v>33</v>
      </c>
      <c r="I9" s="9" t="s">
        <v>66</v>
      </c>
      <c r="J9" t="s">
        <v>25</v>
      </c>
      <c r="K9" s="15">
        <v>5</v>
      </c>
      <c r="L9">
        <v>742</v>
      </c>
      <c r="M9">
        <v>3710</v>
      </c>
      <c r="N9" t="s">
        <v>26</v>
      </c>
      <c r="O9">
        <v>2018</v>
      </c>
      <c r="P9" t="s">
        <v>27</v>
      </c>
      <c r="Q9" s="8" t="s">
        <v>28</v>
      </c>
      <c r="R9" t="s">
        <v>29</v>
      </c>
    </row>
    <row r="10" spans="1:18" x14ac:dyDescent="0.35">
      <c r="A10" t="s">
        <v>635</v>
      </c>
      <c r="B10" t="s">
        <v>67</v>
      </c>
      <c r="C10" s="11" t="s">
        <v>68</v>
      </c>
      <c r="D10" t="s">
        <v>21</v>
      </c>
      <c r="E10">
        <v>53.3583</v>
      </c>
      <c r="F10">
        <v>20.425000000000001</v>
      </c>
      <c r="G10" t="s">
        <v>22</v>
      </c>
      <c r="H10" t="s">
        <v>23</v>
      </c>
      <c r="I10" s="9" t="s">
        <v>69</v>
      </c>
      <c r="J10" t="s">
        <v>25</v>
      </c>
      <c r="K10" s="15">
        <v>4</v>
      </c>
      <c r="L10">
        <v>551</v>
      </c>
      <c r="N10" t="s">
        <v>26</v>
      </c>
      <c r="O10">
        <v>2018</v>
      </c>
      <c r="P10" t="s">
        <v>70</v>
      </c>
      <c r="Q10" s="8" t="s">
        <v>71</v>
      </c>
      <c r="R10" t="s">
        <v>72</v>
      </c>
    </row>
    <row r="11" spans="1:18" x14ac:dyDescent="0.35">
      <c r="A11" t="s">
        <v>635</v>
      </c>
      <c r="B11" t="s">
        <v>73</v>
      </c>
      <c r="C11" s="11" t="s">
        <v>74</v>
      </c>
      <c r="D11" t="s">
        <v>21</v>
      </c>
      <c r="E11">
        <v>50.061399999999999</v>
      </c>
      <c r="F11">
        <v>19.937200000000001</v>
      </c>
      <c r="G11" t="s">
        <v>22</v>
      </c>
      <c r="H11" t="s">
        <v>23</v>
      </c>
      <c r="I11" s="9" t="s">
        <v>75</v>
      </c>
      <c r="J11" t="s">
        <v>47</v>
      </c>
      <c r="K11" s="15">
        <v>10</v>
      </c>
      <c r="L11">
        <v>243</v>
      </c>
      <c r="M11">
        <v>2430</v>
      </c>
      <c r="N11" t="s">
        <v>640</v>
      </c>
      <c r="O11">
        <v>2018</v>
      </c>
      <c r="P11" t="s">
        <v>76</v>
      </c>
      <c r="Q11" s="8" t="s">
        <v>42</v>
      </c>
      <c r="R11" t="s">
        <v>43</v>
      </c>
    </row>
    <row r="12" spans="1:18" x14ac:dyDescent="0.35">
      <c r="A12" t="s">
        <v>635</v>
      </c>
      <c r="B12" t="s">
        <v>77</v>
      </c>
      <c r="C12" s="11" t="s">
        <v>78</v>
      </c>
      <c r="D12" t="s">
        <v>641</v>
      </c>
      <c r="E12">
        <v>51.95</v>
      </c>
      <c r="F12">
        <v>14.7333</v>
      </c>
      <c r="G12" t="s">
        <v>22</v>
      </c>
      <c r="H12" t="s">
        <v>79</v>
      </c>
      <c r="I12" s="9" t="s">
        <v>80</v>
      </c>
      <c r="J12" t="s">
        <v>25</v>
      </c>
      <c r="K12" s="15">
        <v>35</v>
      </c>
      <c r="L12">
        <v>762</v>
      </c>
      <c r="M12">
        <v>26670</v>
      </c>
      <c r="N12" t="s">
        <v>81</v>
      </c>
      <c r="O12">
        <v>2018</v>
      </c>
      <c r="P12" t="s">
        <v>82</v>
      </c>
      <c r="Q12" s="8" t="s">
        <v>58</v>
      </c>
      <c r="R12" t="s">
        <v>59</v>
      </c>
    </row>
    <row r="13" spans="1:18" x14ac:dyDescent="0.35">
      <c r="A13" t="s">
        <v>635</v>
      </c>
      <c r="B13" t="s">
        <v>83</v>
      </c>
      <c r="C13" s="11" t="s">
        <v>84</v>
      </c>
      <c r="D13" t="s">
        <v>21</v>
      </c>
      <c r="E13">
        <v>52.8</v>
      </c>
      <c r="F13">
        <v>21.9</v>
      </c>
      <c r="G13" t="s">
        <v>32</v>
      </c>
      <c r="H13" t="s">
        <v>39</v>
      </c>
      <c r="I13" s="9" t="s">
        <v>85</v>
      </c>
      <c r="J13" t="s">
        <v>86</v>
      </c>
      <c r="K13" s="15">
        <v>4</v>
      </c>
      <c r="L13">
        <v>249</v>
      </c>
      <c r="M13">
        <v>996</v>
      </c>
      <c r="N13" t="s">
        <v>26</v>
      </c>
      <c r="O13">
        <v>2018</v>
      </c>
      <c r="P13" t="s">
        <v>87</v>
      </c>
      <c r="Q13" s="8" t="s">
        <v>42</v>
      </c>
      <c r="R13" t="s">
        <v>43</v>
      </c>
    </row>
    <row r="14" spans="1:18" x14ac:dyDescent="0.35">
      <c r="A14" t="s">
        <v>635</v>
      </c>
      <c r="B14" t="s">
        <v>88</v>
      </c>
      <c r="C14" s="11" t="s">
        <v>89</v>
      </c>
      <c r="D14" t="s">
        <v>21</v>
      </c>
      <c r="E14">
        <v>51.403599999999997</v>
      </c>
      <c r="F14">
        <v>21.156700000000001</v>
      </c>
      <c r="G14" t="s">
        <v>22</v>
      </c>
      <c r="H14" t="s">
        <v>23</v>
      </c>
      <c r="I14" s="9" t="s">
        <v>90</v>
      </c>
      <c r="J14" t="s">
        <v>25</v>
      </c>
      <c r="K14" s="15">
        <v>5</v>
      </c>
      <c r="L14">
        <v>785</v>
      </c>
      <c r="M14">
        <v>3925</v>
      </c>
      <c r="N14" t="s">
        <v>642</v>
      </c>
      <c r="O14">
        <v>2018</v>
      </c>
      <c r="P14" t="s">
        <v>87</v>
      </c>
      <c r="Q14" s="8" t="s">
        <v>42</v>
      </c>
      <c r="R14" t="s">
        <v>43</v>
      </c>
    </row>
    <row r="15" spans="1:18" x14ac:dyDescent="0.35">
      <c r="A15" t="s">
        <v>635</v>
      </c>
      <c r="B15" t="s">
        <v>92</v>
      </c>
      <c r="C15" s="11" t="s">
        <v>93</v>
      </c>
      <c r="D15" t="s">
        <v>21</v>
      </c>
      <c r="E15">
        <v>54.366700000000002</v>
      </c>
      <c r="F15">
        <v>18.633299999999998</v>
      </c>
      <c r="G15" t="s">
        <v>32</v>
      </c>
      <c r="H15" t="s">
        <v>33</v>
      </c>
      <c r="I15" s="9" t="s">
        <v>94</v>
      </c>
      <c r="J15" t="s">
        <v>95</v>
      </c>
      <c r="K15" s="15">
        <v>6</v>
      </c>
      <c r="L15">
        <v>286</v>
      </c>
      <c r="M15">
        <v>1716</v>
      </c>
      <c r="N15" t="s">
        <v>643</v>
      </c>
      <c r="O15">
        <v>2018</v>
      </c>
      <c r="P15" t="s">
        <v>36</v>
      </c>
      <c r="Q15" s="8" t="s">
        <v>28</v>
      </c>
      <c r="R15" t="s">
        <v>29</v>
      </c>
    </row>
    <row r="16" spans="1:18" x14ac:dyDescent="0.35">
      <c r="A16" t="s">
        <v>635</v>
      </c>
      <c r="B16" t="s">
        <v>96</v>
      </c>
      <c r="C16" s="11" t="s">
        <v>97</v>
      </c>
      <c r="D16" t="s">
        <v>21</v>
      </c>
      <c r="E16">
        <v>50.45</v>
      </c>
      <c r="F16">
        <v>18.866700000000002</v>
      </c>
      <c r="G16" t="s">
        <v>22</v>
      </c>
      <c r="H16" t="s">
        <v>23</v>
      </c>
      <c r="I16" s="9" t="s">
        <v>98</v>
      </c>
      <c r="J16" t="s">
        <v>95</v>
      </c>
      <c r="K16" s="15">
        <v>7</v>
      </c>
      <c r="L16">
        <v>487</v>
      </c>
      <c r="M16">
        <v>3409</v>
      </c>
      <c r="N16" t="s">
        <v>26</v>
      </c>
      <c r="O16">
        <v>2018</v>
      </c>
      <c r="P16" t="s">
        <v>52</v>
      </c>
      <c r="Q16" s="8" t="s">
        <v>28</v>
      </c>
      <c r="R16" t="s">
        <v>29</v>
      </c>
    </row>
    <row r="17" spans="1:18" x14ac:dyDescent="0.35">
      <c r="A17" t="s">
        <v>635</v>
      </c>
      <c r="B17" t="s">
        <v>99</v>
      </c>
      <c r="C17" s="11" t="s">
        <v>100</v>
      </c>
      <c r="D17" t="s">
        <v>21</v>
      </c>
      <c r="E17">
        <v>50.15</v>
      </c>
      <c r="F17">
        <v>18.833300000000001</v>
      </c>
      <c r="G17" t="s">
        <v>22</v>
      </c>
      <c r="H17" t="s">
        <v>23</v>
      </c>
      <c r="I17" s="9" t="s">
        <v>101</v>
      </c>
      <c r="J17" t="s">
        <v>47</v>
      </c>
      <c r="K17" s="15">
        <v>5</v>
      </c>
      <c r="L17">
        <v>605</v>
      </c>
      <c r="M17">
        <v>3025</v>
      </c>
      <c r="N17" t="s">
        <v>26</v>
      </c>
      <c r="O17">
        <v>2018</v>
      </c>
      <c r="P17" t="s">
        <v>76</v>
      </c>
      <c r="Q17" s="8" t="s">
        <v>42</v>
      </c>
      <c r="R17" t="s">
        <v>43</v>
      </c>
    </row>
    <row r="18" spans="1:18" x14ac:dyDescent="0.35">
      <c r="A18" t="s">
        <v>635</v>
      </c>
      <c r="B18" t="s">
        <v>644</v>
      </c>
      <c r="C18" s="11" t="s">
        <v>103</v>
      </c>
      <c r="D18" t="s">
        <v>21</v>
      </c>
      <c r="E18">
        <v>52.8</v>
      </c>
      <c r="F18">
        <v>17.2</v>
      </c>
      <c r="G18" t="s">
        <v>22</v>
      </c>
      <c r="H18" t="s">
        <v>23</v>
      </c>
      <c r="I18" s="9" t="s">
        <v>104</v>
      </c>
      <c r="J18" t="s">
        <v>95</v>
      </c>
      <c r="K18" s="15">
        <v>5</v>
      </c>
      <c r="L18">
        <v>548</v>
      </c>
      <c r="M18">
        <v>2</v>
      </c>
      <c r="N18" t="s">
        <v>91</v>
      </c>
      <c r="O18">
        <v>2018</v>
      </c>
      <c r="P18" t="s">
        <v>105</v>
      </c>
      <c r="Q18" s="8" t="s">
        <v>71</v>
      </c>
      <c r="R18" t="s">
        <v>72</v>
      </c>
    </row>
    <row r="19" spans="1:18" x14ac:dyDescent="0.35">
      <c r="A19" t="s">
        <v>635</v>
      </c>
      <c r="B19" t="s">
        <v>106</v>
      </c>
      <c r="C19" s="11" t="s">
        <v>107</v>
      </c>
      <c r="D19" t="s">
        <v>21</v>
      </c>
      <c r="E19">
        <v>51.116700000000002</v>
      </c>
      <c r="F19">
        <v>15.583299999999999</v>
      </c>
      <c r="G19" t="s">
        <v>22</v>
      </c>
      <c r="H19" t="s">
        <v>23</v>
      </c>
      <c r="I19" s="9" t="s">
        <v>108</v>
      </c>
      <c r="J19" t="s">
        <v>86</v>
      </c>
      <c r="K19" s="15">
        <v>30</v>
      </c>
      <c r="L19">
        <v>288</v>
      </c>
      <c r="M19">
        <v>8640</v>
      </c>
      <c r="N19" t="s">
        <v>26</v>
      </c>
      <c r="O19">
        <v>2018</v>
      </c>
      <c r="P19" t="s">
        <v>76</v>
      </c>
      <c r="Q19" s="8" t="s">
        <v>42</v>
      </c>
      <c r="R19" t="s">
        <v>43</v>
      </c>
    </row>
    <row r="20" spans="1:18" x14ac:dyDescent="0.35">
      <c r="A20" t="s">
        <v>635</v>
      </c>
      <c r="B20" t="s">
        <v>645</v>
      </c>
      <c r="C20" s="11" t="s">
        <v>110</v>
      </c>
      <c r="D20" t="s">
        <v>21</v>
      </c>
      <c r="E20">
        <v>51.126399999999997</v>
      </c>
      <c r="F20">
        <v>15.9198</v>
      </c>
      <c r="G20" t="s">
        <v>32</v>
      </c>
      <c r="H20" t="s">
        <v>39</v>
      </c>
      <c r="I20" s="9" t="s">
        <v>111</v>
      </c>
      <c r="J20" t="s">
        <v>47</v>
      </c>
      <c r="K20" s="15">
        <v>2</v>
      </c>
      <c r="L20">
        <v>414</v>
      </c>
      <c r="M20">
        <v>828</v>
      </c>
      <c r="N20" t="s">
        <v>26</v>
      </c>
      <c r="O20">
        <v>2018</v>
      </c>
      <c r="P20" t="s">
        <v>52</v>
      </c>
      <c r="Q20" s="8" t="s">
        <v>28</v>
      </c>
      <c r="R20" t="s">
        <v>29</v>
      </c>
    </row>
    <row r="21" spans="1:18" x14ac:dyDescent="0.35">
      <c r="A21" t="s">
        <v>635</v>
      </c>
      <c r="B21" t="s">
        <v>112</v>
      </c>
      <c r="C21" s="11" t="s">
        <v>113</v>
      </c>
      <c r="D21" t="s">
        <v>21</v>
      </c>
      <c r="E21">
        <v>53.864699999999999</v>
      </c>
      <c r="F21">
        <v>20.956900000000001</v>
      </c>
      <c r="G21" t="s">
        <v>32</v>
      </c>
      <c r="H21" t="s">
        <v>33</v>
      </c>
      <c r="I21" s="9" t="s">
        <v>114</v>
      </c>
      <c r="J21" t="s">
        <v>86</v>
      </c>
      <c r="K21" s="15">
        <v>2</v>
      </c>
      <c r="L21">
        <v>307</v>
      </c>
      <c r="M21">
        <v>614</v>
      </c>
      <c r="N21" t="s">
        <v>26</v>
      </c>
      <c r="O21">
        <v>2018</v>
      </c>
      <c r="P21" t="s">
        <v>115</v>
      </c>
      <c r="Q21" s="8" t="s">
        <v>58</v>
      </c>
      <c r="R21" t="s">
        <v>59</v>
      </c>
    </row>
    <row r="22" spans="1:18" x14ac:dyDescent="0.35">
      <c r="A22" t="s">
        <v>635</v>
      </c>
      <c r="B22" t="s">
        <v>116</v>
      </c>
      <c r="C22" s="11" t="s">
        <v>117</v>
      </c>
      <c r="D22" t="s">
        <v>21</v>
      </c>
      <c r="E22">
        <v>50.55</v>
      </c>
      <c r="F22">
        <v>22.7333</v>
      </c>
      <c r="G22" t="s">
        <v>32</v>
      </c>
      <c r="H22" t="s">
        <v>39</v>
      </c>
      <c r="I22" s="9" t="s">
        <v>118</v>
      </c>
      <c r="J22" t="s">
        <v>95</v>
      </c>
      <c r="K22" s="15">
        <v>5</v>
      </c>
      <c r="L22">
        <v>421</v>
      </c>
      <c r="M22">
        <v>2105</v>
      </c>
      <c r="N22" t="s">
        <v>646</v>
      </c>
      <c r="O22">
        <v>2018</v>
      </c>
      <c r="P22" t="s">
        <v>119</v>
      </c>
      <c r="Q22" s="8" t="s">
        <v>71</v>
      </c>
      <c r="R22" t="s">
        <v>72</v>
      </c>
    </row>
    <row r="23" spans="1:18" x14ac:dyDescent="0.35">
      <c r="A23" t="s">
        <v>635</v>
      </c>
      <c r="B23" t="s">
        <v>120</v>
      </c>
      <c r="C23" s="11" t="s">
        <v>121</v>
      </c>
      <c r="D23" t="s">
        <v>21</v>
      </c>
      <c r="E23">
        <v>53.833300000000001</v>
      </c>
      <c r="F23">
        <v>18.833300000000001</v>
      </c>
      <c r="G23" t="s">
        <v>32</v>
      </c>
      <c r="H23" t="s">
        <v>33</v>
      </c>
      <c r="I23" s="9" t="s">
        <v>122</v>
      </c>
      <c r="J23" t="s">
        <v>86</v>
      </c>
      <c r="K23" s="15">
        <v>20</v>
      </c>
      <c r="L23">
        <v>765</v>
      </c>
      <c r="M23">
        <v>15300</v>
      </c>
      <c r="N23" t="s">
        <v>26</v>
      </c>
      <c r="O23">
        <v>2018</v>
      </c>
      <c r="P23" t="s">
        <v>87</v>
      </c>
      <c r="Q23" s="8" t="s">
        <v>42</v>
      </c>
      <c r="R23" t="s">
        <v>43</v>
      </c>
    </row>
    <row r="24" spans="1:18" x14ac:dyDescent="0.35">
      <c r="A24" t="s">
        <v>635</v>
      </c>
      <c r="B24" t="s">
        <v>123</v>
      </c>
      <c r="C24" s="11" t="s">
        <v>124</v>
      </c>
      <c r="D24" t="s">
        <v>21</v>
      </c>
      <c r="E24">
        <v>51.2667</v>
      </c>
      <c r="F24">
        <v>15.566700000000001</v>
      </c>
      <c r="G24" t="s">
        <v>32</v>
      </c>
      <c r="H24" t="s">
        <v>33</v>
      </c>
      <c r="I24" s="9" t="s">
        <v>125</v>
      </c>
      <c r="J24" t="s">
        <v>35</v>
      </c>
      <c r="K24" s="15">
        <v>5</v>
      </c>
      <c r="L24">
        <v>215</v>
      </c>
      <c r="M24">
        <v>1075</v>
      </c>
      <c r="N24" t="s">
        <v>26</v>
      </c>
      <c r="O24">
        <v>2018</v>
      </c>
      <c r="P24" t="s">
        <v>36</v>
      </c>
      <c r="Q24" s="8" t="s">
        <v>28</v>
      </c>
      <c r="R24" t="s">
        <v>29</v>
      </c>
    </row>
    <row r="25" spans="1:18" x14ac:dyDescent="0.35">
      <c r="A25" t="s">
        <v>635</v>
      </c>
      <c r="B25" t="s">
        <v>126</v>
      </c>
      <c r="C25" s="11" t="s">
        <v>127</v>
      </c>
      <c r="D25" t="s">
        <v>21</v>
      </c>
      <c r="E25">
        <v>50.843800000000002</v>
      </c>
      <c r="F25">
        <v>16.488600000000002</v>
      </c>
      <c r="G25" t="s">
        <v>32</v>
      </c>
      <c r="H25" t="s">
        <v>39</v>
      </c>
      <c r="I25" s="9" t="s">
        <v>128</v>
      </c>
      <c r="J25" t="s">
        <v>86</v>
      </c>
      <c r="K25" s="15">
        <v>26</v>
      </c>
      <c r="L25">
        <v>689</v>
      </c>
      <c r="M25">
        <v>0</v>
      </c>
      <c r="N25" t="s">
        <v>26</v>
      </c>
      <c r="O25">
        <v>2018</v>
      </c>
      <c r="P25" t="s">
        <v>76</v>
      </c>
      <c r="Q25" s="8" t="s">
        <v>42</v>
      </c>
      <c r="R25" t="s">
        <v>43</v>
      </c>
    </row>
    <row r="26" spans="1:18" x14ac:dyDescent="0.35">
      <c r="A26" t="s">
        <v>635</v>
      </c>
      <c r="B26" t="s">
        <v>129</v>
      </c>
      <c r="C26" s="11" t="s">
        <v>130</v>
      </c>
      <c r="D26" t="s">
        <v>21</v>
      </c>
      <c r="E26">
        <v>52.183300000000003</v>
      </c>
      <c r="F26">
        <v>20.85</v>
      </c>
      <c r="G26" t="s">
        <v>22</v>
      </c>
      <c r="H26" t="s">
        <v>23</v>
      </c>
      <c r="I26" t="s">
        <v>55</v>
      </c>
      <c r="J26" t="s">
        <v>25</v>
      </c>
      <c r="K26" s="15">
        <v>16</v>
      </c>
      <c r="L26">
        <v>123</v>
      </c>
      <c r="M26">
        <v>1968</v>
      </c>
      <c r="N26" t="s">
        <v>26</v>
      </c>
      <c r="O26">
        <v>2018</v>
      </c>
      <c r="P26" t="s">
        <v>70</v>
      </c>
      <c r="Q26" s="8" t="s">
        <v>71</v>
      </c>
      <c r="R26" t="s">
        <v>72</v>
      </c>
    </row>
    <row r="27" spans="1:18" x14ac:dyDescent="0.35">
      <c r="A27" t="s">
        <v>635</v>
      </c>
      <c r="B27" t="s">
        <v>131</v>
      </c>
      <c r="C27" s="11" t="s">
        <v>132</v>
      </c>
      <c r="D27" t="s">
        <v>21</v>
      </c>
      <c r="E27">
        <v>51.776899999999998</v>
      </c>
      <c r="F27">
        <v>19.454699999999999</v>
      </c>
      <c r="G27" t="s">
        <v>32</v>
      </c>
      <c r="H27" t="s">
        <v>33</v>
      </c>
      <c r="I27" t="s">
        <v>133</v>
      </c>
      <c r="J27" t="s">
        <v>134</v>
      </c>
      <c r="K27" s="15">
        <v>35</v>
      </c>
      <c r="L27">
        <v>24</v>
      </c>
      <c r="M27">
        <v>840</v>
      </c>
      <c r="N27" t="s">
        <v>640</v>
      </c>
      <c r="O27">
        <v>2018</v>
      </c>
      <c r="P27" t="s">
        <v>70</v>
      </c>
      <c r="Q27" t="s">
        <v>71</v>
      </c>
      <c r="R27" t="s">
        <v>72</v>
      </c>
    </row>
    <row r="28" spans="1:18" x14ac:dyDescent="0.35">
      <c r="A28" t="s">
        <v>635</v>
      </c>
      <c r="B28" t="s">
        <v>135</v>
      </c>
      <c r="C28" s="11" t="s">
        <v>136</v>
      </c>
      <c r="D28" t="s">
        <v>21</v>
      </c>
      <c r="E28">
        <v>50.05</v>
      </c>
      <c r="F28">
        <v>22</v>
      </c>
      <c r="G28" t="s">
        <v>32</v>
      </c>
      <c r="H28" t="s">
        <v>39</v>
      </c>
      <c r="I28" t="s">
        <v>137</v>
      </c>
      <c r="J28" t="s">
        <v>86</v>
      </c>
      <c r="K28" s="15">
        <v>2</v>
      </c>
      <c r="L28">
        <v>502</v>
      </c>
      <c r="M28">
        <v>1004</v>
      </c>
      <c r="N28" t="s">
        <v>26</v>
      </c>
      <c r="O28">
        <v>2018</v>
      </c>
      <c r="P28" t="s">
        <v>105</v>
      </c>
      <c r="Q28" t="s">
        <v>71</v>
      </c>
      <c r="R28" t="s">
        <v>72</v>
      </c>
    </row>
    <row r="29" spans="1:18" x14ac:dyDescent="0.35">
      <c r="A29" t="s">
        <v>635</v>
      </c>
      <c r="B29" t="s">
        <v>138</v>
      </c>
      <c r="C29" s="11" t="s">
        <v>139</v>
      </c>
      <c r="D29" t="s">
        <v>21</v>
      </c>
      <c r="E29">
        <v>50.1556</v>
      </c>
      <c r="F29">
        <v>23.123000000000001</v>
      </c>
      <c r="G29" t="s">
        <v>32</v>
      </c>
      <c r="H29" t="s">
        <v>39</v>
      </c>
      <c r="I29" t="s">
        <v>140</v>
      </c>
      <c r="J29" t="s">
        <v>134</v>
      </c>
      <c r="K29" s="15">
        <v>3</v>
      </c>
      <c r="L29">
        <v>511</v>
      </c>
      <c r="M29">
        <v>1533</v>
      </c>
      <c r="N29" t="s">
        <v>26</v>
      </c>
      <c r="O29">
        <v>2018</v>
      </c>
      <c r="P29" t="s">
        <v>36</v>
      </c>
      <c r="Q29" t="s">
        <v>28</v>
      </c>
      <c r="R29" t="s">
        <v>29</v>
      </c>
    </row>
    <row r="30" spans="1:18" x14ac:dyDescent="0.35">
      <c r="A30" t="s">
        <v>635</v>
      </c>
      <c r="B30" t="s">
        <v>141</v>
      </c>
      <c r="C30" s="11" t="s">
        <v>142</v>
      </c>
      <c r="D30" t="s">
        <v>21</v>
      </c>
      <c r="E30">
        <v>51.2333</v>
      </c>
      <c r="F30">
        <v>22.7</v>
      </c>
      <c r="G30" t="s">
        <v>32</v>
      </c>
      <c r="H30" t="s">
        <v>39</v>
      </c>
      <c r="I30" t="s">
        <v>143</v>
      </c>
      <c r="J30" t="s">
        <v>25</v>
      </c>
      <c r="K30" s="15">
        <v>50</v>
      </c>
      <c r="L30">
        <v>653</v>
      </c>
      <c r="M30">
        <v>1</v>
      </c>
      <c r="N30" t="s">
        <v>144</v>
      </c>
      <c r="O30">
        <v>2018</v>
      </c>
      <c r="P30" t="s">
        <v>87</v>
      </c>
      <c r="Q30" t="s">
        <v>42</v>
      </c>
      <c r="R30" t="s">
        <v>43</v>
      </c>
    </row>
    <row r="31" spans="1:18" x14ac:dyDescent="0.35">
      <c r="A31" t="s">
        <v>635</v>
      </c>
      <c r="B31" t="s">
        <v>77</v>
      </c>
      <c r="C31" s="11" t="s">
        <v>78</v>
      </c>
      <c r="D31" t="s">
        <v>21</v>
      </c>
      <c r="E31">
        <v>51.95</v>
      </c>
      <c r="F31">
        <v>14.7333</v>
      </c>
      <c r="G31" t="s">
        <v>22</v>
      </c>
      <c r="H31" t="s">
        <v>79</v>
      </c>
      <c r="I31" t="s">
        <v>145</v>
      </c>
      <c r="J31" t="s">
        <v>47</v>
      </c>
      <c r="K31" s="15">
        <v>6</v>
      </c>
      <c r="L31">
        <v>191</v>
      </c>
      <c r="M31">
        <v>1146</v>
      </c>
      <c r="N31" t="s">
        <v>26</v>
      </c>
      <c r="O31">
        <v>2018</v>
      </c>
      <c r="P31" t="s">
        <v>63</v>
      </c>
      <c r="Q31" t="s">
        <v>28</v>
      </c>
      <c r="R31" t="s">
        <v>29</v>
      </c>
    </row>
    <row r="32" spans="1:18" x14ac:dyDescent="0.35">
      <c r="A32" t="s">
        <v>635</v>
      </c>
      <c r="B32" t="s">
        <v>146</v>
      </c>
      <c r="C32" s="11" t="s">
        <v>147</v>
      </c>
      <c r="D32" t="s">
        <v>21</v>
      </c>
      <c r="E32">
        <v>50.475099999999998</v>
      </c>
      <c r="F32">
        <v>17.965399999999999</v>
      </c>
      <c r="G32" t="s">
        <v>32</v>
      </c>
      <c r="H32" t="s">
        <v>39</v>
      </c>
      <c r="I32" t="s">
        <v>148</v>
      </c>
      <c r="J32" t="s">
        <v>86</v>
      </c>
      <c r="K32" s="15">
        <v>4</v>
      </c>
      <c r="L32">
        <v>692</v>
      </c>
      <c r="M32">
        <v>2768</v>
      </c>
      <c r="N32" t="s">
        <v>26</v>
      </c>
      <c r="O32">
        <v>2018</v>
      </c>
      <c r="P32" t="s">
        <v>105</v>
      </c>
      <c r="Q32" t="s">
        <v>71</v>
      </c>
      <c r="R32" t="s">
        <v>72</v>
      </c>
    </row>
    <row r="33" spans="1:18" x14ac:dyDescent="0.35">
      <c r="A33" t="s">
        <v>635</v>
      </c>
      <c r="B33" t="s">
        <v>149</v>
      </c>
      <c r="C33" s="11" t="s">
        <v>150</v>
      </c>
      <c r="D33" t="s">
        <v>21</v>
      </c>
      <c r="E33">
        <v>50.866700000000002</v>
      </c>
      <c r="F33">
        <v>17.4833</v>
      </c>
      <c r="G33" t="s">
        <v>22</v>
      </c>
      <c r="H33" t="s">
        <v>79</v>
      </c>
      <c r="I33" t="s">
        <v>151</v>
      </c>
      <c r="J33" t="s">
        <v>134</v>
      </c>
      <c r="K33" s="15">
        <v>6</v>
      </c>
      <c r="L33">
        <v>164</v>
      </c>
      <c r="M33">
        <v>984</v>
      </c>
      <c r="N33" t="s">
        <v>26</v>
      </c>
      <c r="O33">
        <v>2018</v>
      </c>
      <c r="P33" t="s">
        <v>27</v>
      </c>
      <c r="Q33" t="s">
        <v>28</v>
      </c>
      <c r="R33" t="s">
        <v>29</v>
      </c>
    </row>
    <row r="34" spans="1:18" x14ac:dyDescent="0.35">
      <c r="A34" t="s">
        <v>635</v>
      </c>
      <c r="B34" t="s">
        <v>152</v>
      </c>
      <c r="C34" s="11" t="s">
        <v>153</v>
      </c>
      <c r="D34" t="s">
        <v>21</v>
      </c>
      <c r="E34">
        <v>49.299399999999999</v>
      </c>
      <c r="F34">
        <v>19.951899999999998</v>
      </c>
      <c r="G34" t="s">
        <v>32</v>
      </c>
      <c r="H34" t="s">
        <v>33</v>
      </c>
      <c r="I34" t="s">
        <v>69</v>
      </c>
      <c r="J34" t="s">
        <v>25</v>
      </c>
      <c r="K34" s="15">
        <v>60</v>
      </c>
      <c r="L34">
        <v>551</v>
      </c>
      <c r="M34">
        <v>33060</v>
      </c>
      <c r="N34" t="s">
        <v>26</v>
      </c>
      <c r="O34">
        <v>2018</v>
      </c>
      <c r="P34" t="s">
        <v>27</v>
      </c>
      <c r="Q34" t="s">
        <v>28</v>
      </c>
      <c r="R34" t="s">
        <v>29</v>
      </c>
    </row>
    <row r="35" spans="1:18" x14ac:dyDescent="0.35">
      <c r="A35" t="s">
        <v>635</v>
      </c>
      <c r="B35" t="s">
        <v>637</v>
      </c>
      <c r="C35" s="11" t="s">
        <v>31</v>
      </c>
      <c r="D35" t="s">
        <v>21</v>
      </c>
      <c r="E35">
        <v>53.416699999999999</v>
      </c>
      <c r="F35">
        <v>18.433299999999999</v>
      </c>
      <c r="G35" t="s">
        <v>32</v>
      </c>
      <c r="H35" t="s">
        <v>33</v>
      </c>
      <c r="I35" t="s">
        <v>145</v>
      </c>
      <c r="J35" t="s">
        <v>47</v>
      </c>
      <c r="K35" s="15">
        <v>38</v>
      </c>
      <c r="L35">
        <v>191</v>
      </c>
      <c r="M35">
        <v>7258</v>
      </c>
      <c r="N35" t="s">
        <v>56</v>
      </c>
      <c r="O35">
        <v>2018</v>
      </c>
      <c r="P35" t="s">
        <v>63</v>
      </c>
      <c r="Q35" t="s">
        <v>28</v>
      </c>
      <c r="R35" t="s">
        <v>29</v>
      </c>
    </row>
    <row r="36" spans="1:18" x14ac:dyDescent="0.35">
      <c r="A36" t="s">
        <v>635</v>
      </c>
      <c r="B36" t="s">
        <v>154</v>
      </c>
      <c r="C36" s="11" t="s">
        <v>155</v>
      </c>
      <c r="D36" t="s">
        <v>21</v>
      </c>
      <c r="E36">
        <v>52.1417</v>
      </c>
      <c r="F36">
        <v>20.716699999999999</v>
      </c>
      <c r="G36" t="s">
        <v>22</v>
      </c>
      <c r="H36" t="s">
        <v>23</v>
      </c>
      <c r="I36" t="s">
        <v>156</v>
      </c>
      <c r="J36" t="s">
        <v>35</v>
      </c>
      <c r="K36" s="15">
        <v>5</v>
      </c>
      <c r="L36">
        <v>114</v>
      </c>
      <c r="M36">
        <v>570</v>
      </c>
      <c r="N36" t="s">
        <v>26</v>
      </c>
      <c r="O36">
        <v>2018</v>
      </c>
      <c r="P36" t="s">
        <v>36</v>
      </c>
      <c r="Q36" t="s">
        <v>28</v>
      </c>
      <c r="R36" t="s">
        <v>29</v>
      </c>
    </row>
    <row r="37" spans="1:18" x14ac:dyDescent="0.35">
      <c r="A37" t="s">
        <v>635</v>
      </c>
      <c r="B37" t="s">
        <v>157</v>
      </c>
      <c r="C37" s="11" t="s">
        <v>158</v>
      </c>
      <c r="D37" t="s">
        <v>21</v>
      </c>
      <c r="E37">
        <v>49.822499999999998</v>
      </c>
      <c r="F37">
        <v>19.0444</v>
      </c>
      <c r="G37" t="s">
        <v>32</v>
      </c>
      <c r="H37" t="s">
        <v>39</v>
      </c>
      <c r="I37" t="s">
        <v>159</v>
      </c>
      <c r="J37" t="s">
        <v>47</v>
      </c>
      <c r="K37" s="15">
        <v>5</v>
      </c>
      <c r="L37">
        <v>26</v>
      </c>
      <c r="M37">
        <v>130</v>
      </c>
      <c r="N37" t="s">
        <v>26</v>
      </c>
      <c r="O37">
        <v>2018</v>
      </c>
      <c r="P37" t="s">
        <v>82</v>
      </c>
      <c r="Q37" t="s">
        <v>58</v>
      </c>
      <c r="R37" t="s">
        <v>59</v>
      </c>
    </row>
    <row r="38" spans="1:18" x14ac:dyDescent="0.35">
      <c r="A38" t="s">
        <v>635</v>
      </c>
      <c r="B38" t="s">
        <v>160</v>
      </c>
      <c r="C38" s="11" t="s">
        <v>161</v>
      </c>
      <c r="D38" t="s">
        <v>21</v>
      </c>
      <c r="E38">
        <v>53.2667</v>
      </c>
      <c r="F38">
        <v>16.466699999999999</v>
      </c>
      <c r="G38" t="s">
        <v>22</v>
      </c>
      <c r="H38" t="s">
        <v>79</v>
      </c>
      <c r="I38" t="s">
        <v>162</v>
      </c>
      <c r="J38" t="s">
        <v>25</v>
      </c>
      <c r="K38" s="15">
        <v>30</v>
      </c>
      <c r="L38">
        <v>452</v>
      </c>
      <c r="M38">
        <v>13560</v>
      </c>
      <c r="N38" t="s">
        <v>26</v>
      </c>
      <c r="O38">
        <v>2018</v>
      </c>
      <c r="P38" t="s">
        <v>63</v>
      </c>
      <c r="Q38" t="s">
        <v>28</v>
      </c>
      <c r="R38" t="s">
        <v>29</v>
      </c>
    </row>
    <row r="39" spans="1:18" x14ac:dyDescent="0.35">
      <c r="A39" t="s">
        <v>635</v>
      </c>
      <c r="B39" t="s">
        <v>163</v>
      </c>
      <c r="C39" s="11" t="s">
        <v>164</v>
      </c>
      <c r="D39" t="s">
        <v>21</v>
      </c>
      <c r="E39">
        <v>49.882100000000001</v>
      </c>
      <c r="F39">
        <v>19.223299999999998</v>
      </c>
      <c r="G39" t="s">
        <v>32</v>
      </c>
      <c r="H39" t="s">
        <v>39</v>
      </c>
      <c r="I39" t="s">
        <v>165</v>
      </c>
      <c r="J39" t="s">
        <v>25</v>
      </c>
      <c r="K39" s="15">
        <v>1</v>
      </c>
      <c r="L39">
        <v>604</v>
      </c>
      <c r="M39">
        <v>604</v>
      </c>
      <c r="N39" t="s">
        <v>26</v>
      </c>
      <c r="O39">
        <v>2018</v>
      </c>
      <c r="P39" t="s">
        <v>41</v>
      </c>
      <c r="Q39" t="s">
        <v>42</v>
      </c>
      <c r="R39" t="s">
        <v>43</v>
      </c>
    </row>
    <row r="40" spans="1:18" x14ac:dyDescent="0.35">
      <c r="A40" t="s">
        <v>635</v>
      </c>
      <c r="B40" t="s">
        <v>166</v>
      </c>
      <c r="C40" s="11" t="s">
        <v>167</v>
      </c>
      <c r="D40" t="s">
        <v>21</v>
      </c>
      <c r="E40">
        <v>50.8</v>
      </c>
      <c r="F40">
        <v>19.116700000000002</v>
      </c>
      <c r="G40" t="s">
        <v>32</v>
      </c>
      <c r="H40" t="s">
        <v>33</v>
      </c>
      <c r="I40" t="s">
        <v>168</v>
      </c>
      <c r="J40" t="s">
        <v>95</v>
      </c>
      <c r="K40" s="15">
        <v>2</v>
      </c>
      <c r="L40">
        <v>768</v>
      </c>
      <c r="M40">
        <v>1536</v>
      </c>
      <c r="N40" t="s">
        <v>26</v>
      </c>
      <c r="O40">
        <v>2018</v>
      </c>
      <c r="P40" t="s">
        <v>36</v>
      </c>
      <c r="Q40" t="s">
        <v>28</v>
      </c>
      <c r="R40" t="s">
        <v>29</v>
      </c>
    </row>
    <row r="41" spans="1:18" x14ac:dyDescent="0.35">
      <c r="A41" t="s">
        <v>635</v>
      </c>
      <c r="B41" t="s">
        <v>169</v>
      </c>
      <c r="C41" s="11" t="s">
        <v>170</v>
      </c>
      <c r="D41" t="s">
        <v>21</v>
      </c>
      <c r="E41">
        <v>51.366700000000002</v>
      </c>
      <c r="F41">
        <v>19.366700000000002</v>
      </c>
      <c r="G41" t="s">
        <v>22</v>
      </c>
      <c r="H41" t="s">
        <v>23</v>
      </c>
      <c r="I41" t="s">
        <v>34</v>
      </c>
      <c r="J41" t="s">
        <v>35</v>
      </c>
      <c r="K41" s="15">
        <v>4</v>
      </c>
      <c r="L41">
        <v>591</v>
      </c>
      <c r="M41">
        <v>2364</v>
      </c>
      <c r="N41" t="s">
        <v>26</v>
      </c>
      <c r="O41">
        <v>2018</v>
      </c>
      <c r="P41" t="s">
        <v>115</v>
      </c>
      <c r="Q41" t="s">
        <v>58</v>
      </c>
      <c r="R41" t="s">
        <v>59</v>
      </c>
    </row>
    <row r="42" spans="1:18" x14ac:dyDescent="0.35">
      <c r="A42" t="s">
        <v>635</v>
      </c>
      <c r="B42" t="s">
        <v>171</v>
      </c>
      <c r="C42" s="11" t="s">
        <v>172</v>
      </c>
      <c r="D42" t="s">
        <v>21</v>
      </c>
      <c r="E42">
        <v>53.2</v>
      </c>
      <c r="F42">
        <v>18.600000000000001</v>
      </c>
      <c r="G42" t="s">
        <v>22</v>
      </c>
      <c r="H42" t="s">
        <v>23</v>
      </c>
      <c r="I42" t="s">
        <v>173</v>
      </c>
      <c r="J42" t="s">
        <v>47</v>
      </c>
      <c r="K42" s="15">
        <v>2</v>
      </c>
      <c r="L42">
        <v>763</v>
      </c>
      <c r="M42">
        <v>1526</v>
      </c>
      <c r="N42" t="s">
        <v>26</v>
      </c>
      <c r="O42">
        <v>2018</v>
      </c>
      <c r="P42" t="s">
        <v>63</v>
      </c>
      <c r="Q42" t="s">
        <v>28</v>
      </c>
      <c r="R42" t="s">
        <v>29</v>
      </c>
    </row>
    <row r="43" spans="1:18" x14ac:dyDescent="0.35">
      <c r="A43" t="s">
        <v>635</v>
      </c>
      <c r="B43" t="s">
        <v>174</v>
      </c>
      <c r="C43" s="11" t="s">
        <v>175</v>
      </c>
      <c r="D43" t="s">
        <v>21</v>
      </c>
      <c r="E43">
        <v>52.4</v>
      </c>
      <c r="F43">
        <v>16.916699999999999</v>
      </c>
      <c r="G43" t="s">
        <v>22</v>
      </c>
      <c r="H43" t="s">
        <v>79</v>
      </c>
      <c r="I43" t="s">
        <v>176</v>
      </c>
      <c r="J43" t="s">
        <v>35</v>
      </c>
      <c r="K43" s="15">
        <v>2</v>
      </c>
      <c r="L43">
        <v>458</v>
      </c>
      <c r="M43">
        <v>916</v>
      </c>
      <c r="N43" t="s">
        <v>647</v>
      </c>
      <c r="O43">
        <v>2018</v>
      </c>
      <c r="P43" t="s">
        <v>87</v>
      </c>
      <c r="Q43" t="s">
        <v>42</v>
      </c>
      <c r="R43" t="s">
        <v>43</v>
      </c>
    </row>
    <row r="44" spans="1:18" x14ac:dyDescent="0.35">
      <c r="A44" t="s">
        <v>635</v>
      </c>
      <c r="B44" t="s">
        <v>178</v>
      </c>
      <c r="C44" s="11" t="s">
        <v>179</v>
      </c>
      <c r="D44" t="s">
        <v>21</v>
      </c>
      <c r="E44">
        <v>54.166699999999999</v>
      </c>
      <c r="F44">
        <v>19.399999999999999</v>
      </c>
      <c r="G44" t="s">
        <v>32</v>
      </c>
      <c r="H44" t="s">
        <v>39</v>
      </c>
      <c r="I44" t="s">
        <v>24</v>
      </c>
      <c r="J44" t="s">
        <v>25</v>
      </c>
      <c r="K44" s="15">
        <v>2</v>
      </c>
      <c r="L44">
        <v>368</v>
      </c>
      <c r="M44">
        <v>736</v>
      </c>
      <c r="N44" t="s">
        <v>26</v>
      </c>
      <c r="O44">
        <v>2018</v>
      </c>
      <c r="P44" t="s">
        <v>115</v>
      </c>
      <c r="Q44" t="s">
        <v>58</v>
      </c>
      <c r="R44" t="s">
        <v>59</v>
      </c>
    </row>
    <row r="45" spans="1:18" x14ac:dyDescent="0.35">
      <c r="A45" t="s">
        <v>635</v>
      </c>
      <c r="B45" t="s">
        <v>180</v>
      </c>
      <c r="C45" s="11" t="s">
        <v>181</v>
      </c>
      <c r="D45" t="s">
        <v>21</v>
      </c>
      <c r="E45">
        <v>52.883299999999998</v>
      </c>
      <c r="F45">
        <v>18.783300000000001</v>
      </c>
      <c r="G45" t="s">
        <v>32</v>
      </c>
      <c r="H45" t="s">
        <v>33</v>
      </c>
      <c r="I45" t="s">
        <v>182</v>
      </c>
      <c r="J45" t="s">
        <v>134</v>
      </c>
      <c r="K45" s="15">
        <v>3</v>
      </c>
      <c r="L45">
        <v>682</v>
      </c>
      <c r="N45" t="s">
        <v>26</v>
      </c>
      <c r="O45">
        <v>2018</v>
      </c>
      <c r="P45" t="s">
        <v>27</v>
      </c>
      <c r="Q45" t="s">
        <v>28</v>
      </c>
      <c r="R45" t="s">
        <v>29</v>
      </c>
    </row>
    <row r="46" spans="1:18" x14ac:dyDescent="0.35">
      <c r="A46" t="s">
        <v>635</v>
      </c>
      <c r="B46" t="s">
        <v>37</v>
      </c>
      <c r="C46" s="11" t="s">
        <v>38</v>
      </c>
      <c r="D46" t="s">
        <v>21</v>
      </c>
      <c r="E46">
        <v>50.083300000000001</v>
      </c>
      <c r="F46">
        <v>18.5</v>
      </c>
      <c r="G46" t="s">
        <v>32</v>
      </c>
      <c r="H46" t="s">
        <v>39</v>
      </c>
      <c r="I46" t="s">
        <v>183</v>
      </c>
      <c r="J46" t="s">
        <v>25</v>
      </c>
      <c r="K46" s="15">
        <v>2</v>
      </c>
      <c r="L46">
        <v>106</v>
      </c>
      <c r="M46">
        <v>212</v>
      </c>
      <c r="N46" t="s">
        <v>26</v>
      </c>
      <c r="O46">
        <v>2018</v>
      </c>
      <c r="P46" t="s">
        <v>105</v>
      </c>
      <c r="Q46" t="s">
        <v>71</v>
      </c>
      <c r="R46" t="s">
        <v>72</v>
      </c>
    </row>
    <row r="47" spans="1:18" x14ac:dyDescent="0.35">
      <c r="A47" t="s">
        <v>635</v>
      </c>
      <c r="B47" t="s">
        <v>53</v>
      </c>
      <c r="C47" s="11" t="s">
        <v>54</v>
      </c>
      <c r="D47" t="s">
        <v>21</v>
      </c>
      <c r="E47">
        <v>54.033299999999997</v>
      </c>
      <c r="F47">
        <v>22.5</v>
      </c>
      <c r="G47" t="s">
        <v>22</v>
      </c>
      <c r="H47" t="s">
        <v>23</v>
      </c>
      <c r="I47" t="s">
        <v>184</v>
      </c>
      <c r="J47" t="s">
        <v>35</v>
      </c>
      <c r="K47" s="15">
        <v>1</v>
      </c>
      <c r="L47">
        <v>122</v>
      </c>
      <c r="M47">
        <v>122</v>
      </c>
      <c r="N47" t="s">
        <v>185</v>
      </c>
      <c r="O47">
        <v>2018</v>
      </c>
      <c r="P47" t="s">
        <v>27</v>
      </c>
      <c r="Q47" t="s">
        <v>28</v>
      </c>
      <c r="R47" t="s">
        <v>29</v>
      </c>
    </row>
    <row r="48" spans="1:18" x14ac:dyDescent="0.35">
      <c r="A48" t="s">
        <v>635</v>
      </c>
      <c r="B48" t="s">
        <v>186</v>
      </c>
      <c r="C48" s="11" t="s">
        <v>187</v>
      </c>
      <c r="D48" t="s">
        <v>21</v>
      </c>
      <c r="E48">
        <v>50.437800000000003</v>
      </c>
      <c r="F48">
        <v>16.652799999999999</v>
      </c>
      <c r="G48" t="s">
        <v>22</v>
      </c>
      <c r="H48" t="s">
        <v>23</v>
      </c>
      <c r="I48" t="s">
        <v>188</v>
      </c>
      <c r="J48" t="s">
        <v>47</v>
      </c>
      <c r="K48" s="15">
        <v>4</v>
      </c>
      <c r="L48">
        <v>60</v>
      </c>
      <c r="M48">
        <v>240</v>
      </c>
      <c r="N48" t="s">
        <v>26</v>
      </c>
      <c r="O48">
        <v>2018</v>
      </c>
      <c r="P48" t="s">
        <v>115</v>
      </c>
      <c r="Q48" t="s">
        <v>58</v>
      </c>
      <c r="R48" t="s">
        <v>59</v>
      </c>
    </row>
    <row r="49" spans="1:18" x14ac:dyDescent="0.35">
      <c r="A49" t="s">
        <v>635</v>
      </c>
      <c r="B49" t="s">
        <v>189</v>
      </c>
      <c r="C49" s="11" t="s">
        <v>190</v>
      </c>
      <c r="D49" t="s">
        <v>21</v>
      </c>
      <c r="E49">
        <v>53.755800000000001</v>
      </c>
      <c r="F49">
        <v>19.197500000000002</v>
      </c>
      <c r="G49" t="s">
        <v>22</v>
      </c>
      <c r="H49" t="s">
        <v>79</v>
      </c>
      <c r="I49" t="s">
        <v>191</v>
      </c>
      <c r="J49" t="s">
        <v>25</v>
      </c>
      <c r="K49" s="15">
        <v>2</v>
      </c>
      <c r="L49">
        <v>488</v>
      </c>
      <c r="M49">
        <v>976</v>
      </c>
      <c r="N49" t="s">
        <v>26</v>
      </c>
      <c r="O49">
        <v>2018</v>
      </c>
      <c r="P49" t="s">
        <v>63</v>
      </c>
      <c r="Q49" t="s">
        <v>28</v>
      </c>
      <c r="R49" t="s">
        <v>29</v>
      </c>
    </row>
    <row r="50" spans="1:18" x14ac:dyDescent="0.35">
      <c r="A50" t="s">
        <v>635</v>
      </c>
      <c r="B50" t="s">
        <v>192</v>
      </c>
      <c r="C50" s="11" t="s">
        <v>193</v>
      </c>
      <c r="D50" t="s">
        <v>21</v>
      </c>
      <c r="E50">
        <v>50.3</v>
      </c>
      <c r="F50">
        <v>18.95</v>
      </c>
      <c r="G50" t="s">
        <v>32</v>
      </c>
      <c r="H50" t="s">
        <v>33</v>
      </c>
      <c r="I50" t="s">
        <v>194</v>
      </c>
      <c r="J50" t="s">
        <v>134</v>
      </c>
      <c r="K50" s="15">
        <v>8</v>
      </c>
      <c r="L50">
        <v>482</v>
      </c>
      <c r="M50">
        <v>3856</v>
      </c>
      <c r="N50" t="s">
        <v>144</v>
      </c>
      <c r="O50">
        <v>2018</v>
      </c>
      <c r="P50" t="s">
        <v>70</v>
      </c>
      <c r="Q50" t="s">
        <v>71</v>
      </c>
      <c r="R50" t="s">
        <v>72</v>
      </c>
    </row>
    <row r="51" spans="1:18" x14ac:dyDescent="0.35">
      <c r="A51" t="s">
        <v>635</v>
      </c>
      <c r="B51" t="s">
        <v>195</v>
      </c>
      <c r="C51" s="11" t="s">
        <v>196</v>
      </c>
      <c r="D51" t="s">
        <v>21</v>
      </c>
      <c r="E51">
        <v>53.4925</v>
      </c>
      <c r="F51">
        <v>18.7761</v>
      </c>
      <c r="G51" t="s">
        <v>32</v>
      </c>
      <c r="H51" t="s">
        <v>33</v>
      </c>
      <c r="I51" t="s">
        <v>197</v>
      </c>
      <c r="J51" t="s">
        <v>25</v>
      </c>
      <c r="K51" s="15">
        <v>6</v>
      </c>
      <c r="L51">
        <v>391</v>
      </c>
      <c r="M51">
        <v>2346</v>
      </c>
      <c r="N51" t="s">
        <v>26</v>
      </c>
      <c r="O51">
        <v>2018</v>
      </c>
      <c r="P51" t="s">
        <v>115</v>
      </c>
      <c r="Q51" t="s">
        <v>58</v>
      </c>
      <c r="R51" t="s">
        <v>59</v>
      </c>
    </row>
    <row r="52" spans="1:18" x14ac:dyDescent="0.35">
      <c r="A52" t="s">
        <v>635</v>
      </c>
      <c r="B52" s="8" t="s">
        <v>198</v>
      </c>
      <c r="C52" s="11" t="s">
        <v>199</v>
      </c>
      <c r="D52" t="s">
        <v>21</v>
      </c>
      <c r="E52">
        <v>52.058300000000003</v>
      </c>
      <c r="F52">
        <v>19.2</v>
      </c>
      <c r="G52" t="s">
        <v>32</v>
      </c>
      <c r="H52" t="s">
        <v>39</v>
      </c>
      <c r="I52" t="s">
        <v>200</v>
      </c>
      <c r="J52" t="s">
        <v>134</v>
      </c>
      <c r="K52" s="15">
        <v>10</v>
      </c>
      <c r="L52">
        <v>75</v>
      </c>
      <c r="M52">
        <v>750</v>
      </c>
      <c r="N52" t="s">
        <v>26</v>
      </c>
      <c r="O52">
        <v>2018</v>
      </c>
      <c r="P52" t="s">
        <v>41</v>
      </c>
      <c r="Q52" t="s">
        <v>42</v>
      </c>
      <c r="R52" t="s">
        <v>43</v>
      </c>
    </row>
    <row r="53" spans="1:18" x14ac:dyDescent="0.35">
      <c r="A53" t="s">
        <v>635</v>
      </c>
      <c r="B53" s="8" t="s">
        <v>201</v>
      </c>
      <c r="C53" s="11" t="s">
        <v>202</v>
      </c>
      <c r="D53" t="s">
        <v>21</v>
      </c>
      <c r="E53">
        <v>53.65</v>
      </c>
      <c r="F53">
        <v>17.366700000000002</v>
      </c>
      <c r="G53" t="s">
        <v>32</v>
      </c>
      <c r="H53" t="s">
        <v>33</v>
      </c>
      <c r="I53" t="s">
        <v>203</v>
      </c>
      <c r="J53" t="s">
        <v>86</v>
      </c>
      <c r="K53" s="15">
        <v>10</v>
      </c>
      <c r="L53">
        <v>347</v>
      </c>
      <c r="M53">
        <v>3470</v>
      </c>
      <c r="N53" t="s">
        <v>26</v>
      </c>
      <c r="O53">
        <v>2018</v>
      </c>
      <c r="P53" t="s">
        <v>27</v>
      </c>
      <c r="Q53" t="s">
        <v>28</v>
      </c>
      <c r="R53" t="s">
        <v>29</v>
      </c>
    </row>
    <row r="54" spans="1:18" x14ac:dyDescent="0.35">
      <c r="A54" t="s">
        <v>635</v>
      </c>
      <c r="B54" s="8" t="s">
        <v>44</v>
      </c>
      <c r="C54" s="11" t="s">
        <v>45</v>
      </c>
      <c r="D54" t="s">
        <v>21</v>
      </c>
      <c r="E54">
        <v>50.333300000000001</v>
      </c>
      <c r="F54">
        <v>19.083300000000001</v>
      </c>
      <c r="G54" t="s">
        <v>22</v>
      </c>
      <c r="H54" t="s">
        <v>23</v>
      </c>
      <c r="I54" t="s">
        <v>204</v>
      </c>
      <c r="J54" t="s">
        <v>25</v>
      </c>
      <c r="K54" s="15">
        <v>10</v>
      </c>
      <c r="L54">
        <v>99</v>
      </c>
      <c r="M54">
        <v>990</v>
      </c>
      <c r="N54" t="s">
        <v>26</v>
      </c>
      <c r="O54">
        <v>2018</v>
      </c>
      <c r="P54" t="s">
        <v>119</v>
      </c>
      <c r="Q54" t="s">
        <v>71</v>
      </c>
      <c r="R54" t="s">
        <v>72</v>
      </c>
    </row>
    <row r="55" spans="1:18" x14ac:dyDescent="0.35">
      <c r="A55" t="s">
        <v>635</v>
      </c>
      <c r="B55" s="8" t="s">
        <v>205</v>
      </c>
      <c r="C55" s="11" t="s">
        <v>206</v>
      </c>
      <c r="D55" t="s">
        <v>21</v>
      </c>
      <c r="E55">
        <v>51.566699999999997</v>
      </c>
      <c r="F55">
        <v>21.8614</v>
      </c>
      <c r="G55" t="s">
        <v>22</v>
      </c>
      <c r="H55" t="s">
        <v>23</v>
      </c>
      <c r="I55" t="s">
        <v>98</v>
      </c>
      <c r="J55" t="s">
        <v>95</v>
      </c>
      <c r="K55" s="15">
        <v>8</v>
      </c>
      <c r="L55">
        <v>487</v>
      </c>
      <c r="M55">
        <v>3896</v>
      </c>
      <c r="N55" t="s">
        <v>26</v>
      </c>
      <c r="O55">
        <v>2018</v>
      </c>
      <c r="P55" t="s">
        <v>57</v>
      </c>
      <c r="Q55" t="s">
        <v>58</v>
      </c>
      <c r="R55" t="s">
        <v>59</v>
      </c>
    </row>
    <row r="56" spans="1:18" x14ac:dyDescent="0.35">
      <c r="A56" t="s">
        <v>635</v>
      </c>
      <c r="B56" s="8" t="s">
        <v>126</v>
      </c>
      <c r="C56" s="11" t="s">
        <v>127</v>
      </c>
      <c r="D56" t="s">
        <v>21</v>
      </c>
      <c r="E56">
        <v>50.843800000000002</v>
      </c>
      <c r="F56">
        <v>16.488600000000002</v>
      </c>
      <c r="G56" t="s">
        <v>32</v>
      </c>
      <c r="H56" t="s">
        <v>39</v>
      </c>
      <c r="I56" t="s">
        <v>207</v>
      </c>
      <c r="J56" t="s">
        <v>134</v>
      </c>
      <c r="K56" s="15">
        <v>8</v>
      </c>
      <c r="L56">
        <v>149</v>
      </c>
      <c r="M56">
        <v>1192</v>
      </c>
      <c r="N56" t="s">
        <v>26</v>
      </c>
      <c r="O56">
        <v>2018</v>
      </c>
      <c r="P56" t="s">
        <v>36</v>
      </c>
      <c r="Q56" t="s">
        <v>28</v>
      </c>
      <c r="R56" t="s">
        <v>29</v>
      </c>
    </row>
    <row r="57" spans="1:18" x14ac:dyDescent="0.35">
      <c r="A57" t="s">
        <v>635</v>
      </c>
      <c r="B57" s="8" t="s">
        <v>208</v>
      </c>
      <c r="C57" s="11" t="s">
        <v>209</v>
      </c>
      <c r="D57" t="s">
        <v>21</v>
      </c>
      <c r="E57">
        <v>53.916699999999999</v>
      </c>
      <c r="F57">
        <v>14.25</v>
      </c>
      <c r="G57" t="s">
        <v>22</v>
      </c>
      <c r="H57" t="s">
        <v>79</v>
      </c>
      <c r="I57" t="s">
        <v>210</v>
      </c>
      <c r="J57" t="s">
        <v>47</v>
      </c>
      <c r="K57" s="15">
        <v>1</v>
      </c>
      <c r="L57">
        <v>778</v>
      </c>
      <c r="M57">
        <v>778</v>
      </c>
      <c r="N57" t="s">
        <v>26</v>
      </c>
      <c r="O57">
        <v>2018</v>
      </c>
      <c r="P57" t="s">
        <v>105</v>
      </c>
      <c r="Q57" t="s">
        <v>71</v>
      </c>
      <c r="R57" t="s">
        <v>72</v>
      </c>
    </row>
    <row r="58" spans="1:18" x14ac:dyDescent="0.35">
      <c r="A58" t="s">
        <v>635</v>
      </c>
      <c r="B58" s="8" t="s">
        <v>211</v>
      </c>
      <c r="C58" s="11" t="s">
        <v>212</v>
      </c>
      <c r="D58" t="s">
        <v>21</v>
      </c>
      <c r="E58">
        <v>52.7333</v>
      </c>
      <c r="F58">
        <v>15.25</v>
      </c>
      <c r="G58" t="s">
        <v>32</v>
      </c>
      <c r="H58" t="s">
        <v>39</v>
      </c>
      <c r="I58" t="s">
        <v>165</v>
      </c>
      <c r="J58" t="s">
        <v>25</v>
      </c>
      <c r="K58" s="15">
        <v>20</v>
      </c>
      <c r="L58">
        <v>604</v>
      </c>
      <c r="M58">
        <v>12080</v>
      </c>
      <c r="N58" t="s">
        <v>26</v>
      </c>
      <c r="O58">
        <v>2018</v>
      </c>
      <c r="P58" t="s">
        <v>119</v>
      </c>
      <c r="Q58" t="s">
        <v>71</v>
      </c>
      <c r="R58" t="s">
        <v>72</v>
      </c>
    </row>
    <row r="59" spans="1:18" x14ac:dyDescent="0.35">
      <c r="A59" t="s">
        <v>635</v>
      </c>
      <c r="B59" s="8" t="s">
        <v>648</v>
      </c>
      <c r="C59" s="11" t="s">
        <v>214</v>
      </c>
      <c r="D59" t="s">
        <v>21</v>
      </c>
      <c r="E59">
        <v>53.142099999999999</v>
      </c>
      <c r="F59">
        <v>17.601800000000001</v>
      </c>
      <c r="G59" t="s">
        <v>32</v>
      </c>
      <c r="H59" t="s">
        <v>33</v>
      </c>
      <c r="I59" t="s">
        <v>210</v>
      </c>
      <c r="J59" t="s">
        <v>47</v>
      </c>
      <c r="K59" s="15">
        <v>20</v>
      </c>
      <c r="L59">
        <v>778</v>
      </c>
      <c r="N59" t="s">
        <v>26</v>
      </c>
      <c r="O59">
        <v>2018</v>
      </c>
      <c r="P59" t="s">
        <v>82</v>
      </c>
      <c r="Q59" t="s">
        <v>58</v>
      </c>
      <c r="R59" t="s">
        <v>59</v>
      </c>
    </row>
    <row r="60" spans="1:18" x14ac:dyDescent="0.35">
      <c r="A60" t="s">
        <v>635</v>
      </c>
      <c r="B60" s="8" t="s">
        <v>215</v>
      </c>
      <c r="C60" s="11" t="s">
        <v>216</v>
      </c>
      <c r="D60" t="s">
        <v>21</v>
      </c>
      <c r="E60">
        <v>53.252400000000002</v>
      </c>
      <c r="F60">
        <v>14.488300000000001</v>
      </c>
      <c r="G60" t="s">
        <v>22</v>
      </c>
      <c r="H60" t="s">
        <v>79</v>
      </c>
      <c r="I60" t="s">
        <v>217</v>
      </c>
      <c r="J60" t="s">
        <v>35</v>
      </c>
      <c r="K60" s="15">
        <v>3</v>
      </c>
      <c r="L60">
        <v>424</v>
      </c>
      <c r="N60" t="s">
        <v>26</v>
      </c>
      <c r="O60">
        <v>2018</v>
      </c>
      <c r="P60" t="s">
        <v>76</v>
      </c>
      <c r="Q60" t="s">
        <v>42</v>
      </c>
      <c r="R60" t="s">
        <v>43</v>
      </c>
    </row>
    <row r="61" spans="1:18" x14ac:dyDescent="0.35">
      <c r="A61" t="s">
        <v>635</v>
      </c>
      <c r="B61" s="8" t="s">
        <v>218</v>
      </c>
      <c r="C61" s="11" t="s">
        <v>219</v>
      </c>
      <c r="D61" t="s">
        <v>21</v>
      </c>
      <c r="E61">
        <v>50.683300000000003</v>
      </c>
      <c r="F61">
        <v>21.75</v>
      </c>
      <c r="G61" t="s">
        <v>22</v>
      </c>
      <c r="H61" t="s">
        <v>79</v>
      </c>
      <c r="I61" t="s">
        <v>66</v>
      </c>
      <c r="J61" t="s">
        <v>25</v>
      </c>
      <c r="K61" s="15">
        <v>10</v>
      </c>
      <c r="L61">
        <v>742</v>
      </c>
      <c r="N61" t="s">
        <v>144</v>
      </c>
      <c r="O61">
        <v>2018</v>
      </c>
      <c r="P61" t="s">
        <v>36</v>
      </c>
      <c r="Q61" t="s">
        <v>28</v>
      </c>
      <c r="R61" t="s">
        <v>29</v>
      </c>
    </row>
    <row r="62" spans="1:18" x14ac:dyDescent="0.35">
      <c r="A62" t="s">
        <v>635</v>
      </c>
      <c r="B62" s="8" t="s">
        <v>220</v>
      </c>
      <c r="C62" s="11" t="s">
        <v>221</v>
      </c>
      <c r="D62" t="s">
        <v>21</v>
      </c>
      <c r="E62">
        <v>53.969700000000003</v>
      </c>
      <c r="F62">
        <v>14.7858</v>
      </c>
      <c r="G62" t="s">
        <v>22</v>
      </c>
      <c r="H62" t="s">
        <v>79</v>
      </c>
      <c r="I62" t="s">
        <v>40</v>
      </c>
      <c r="J62" t="s">
        <v>35</v>
      </c>
      <c r="K62" s="15">
        <v>100</v>
      </c>
      <c r="L62">
        <v>66</v>
      </c>
      <c r="M62">
        <v>6600</v>
      </c>
      <c r="N62" t="s">
        <v>26</v>
      </c>
      <c r="O62">
        <v>2018</v>
      </c>
      <c r="P62" t="s">
        <v>76</v>
      </c>
      <c r="Q62" t="s">
        <v>42</v>
      </c>
      <c r="R62" t="s">
        <v>43</v>
      </c>
    </row>
    <row r="63" spans="1:18" x14ac:dyDescent="0.35">
      <c r="A63" t="s">
        <v>635</v>
      </c>
      <c r="B63" s="8" t="s">
        <v>178</v>
      </c>
      <c r="C63" s="11" t="s">
        <v>179</v>
      </c>
      <c r="D63" t="s">
        <v>21</v>
      </c>
      <c r="E63">
        <v>54.166699999999999</v>
      </c>
      <c r="F63">
        <v>19.399999999999999</v>
      </c>
      <c r="G63" t="s">
        <v>32</v>
      </c>
      <c r="H63" t="s">
        <v>39</v>
      </c>
      <c r="I63" t="s">
        <v>194</v>
      </c>
      <c r="J63" t="s">
        <v>134</v>
      </c>
      <c r="K63" s="15">
        <v>4</v>
      </c>
      <c r="L63">
        <v>482</v>
      </c>
      <c r="M63">
        <v>1928</v>
      </c>
      <c r="N63" t="s">
        <v>26</v>
      </c>
      <c r="O63">
        <v>2018</v>
      </c>
      <c r="P63" t="s">
        <v>52</v>
      </c>
      <c r="Q63" t="s">
        <v>28</v>
      </c>
      <c r="R63" t="s">
        <v>29</v>
      </c>
    </row>
    <row r="64" spans="1:18" x14ac:dyDescent="0.35">
      <c r="A64" t="s">
        <v>635</v>
      </c>
      <c r="B64" s="8" t="s">
        <v>222</v>
      </c>
      <c r="C64" s="11" t="s">
        <v>223</v>
      </c>
      <c r="D64" t="s">
        <v>21</v>
      </c>
      <c r="E64">
        <v>50.583300000000001</v>
      </c>
      <c r="F64">
        <v>21.683299999999999</v>
      </c>
      <c r="G64" t="s">
        <v>32</v>
      </c>
      <c r="H64" t="s">
        <v>33</v>
      </c>
      <c r="I64" t="s">
        <v>224</v>
      </c>
      <c r="J64" t="s">
        <v>47</v>
      </c>
      <c r="K64" s="15">
        <v>5</v>
      </c>
      <c r="L64">
        <v>722</v>
      </c>
      <c r="M64">
        <v>3610</v>
      </c>
      <c r="N64" t="s">
        <v>26</v>
      </c>
      <c r="O64">
        <v>2018</v>
      </c>
      <c r="P64" t="s">
        <v>70</v>
      </c>
      <c r="Q64" t="s">
        <v>71</v>
      </c>
      <c r="R64" t="s">
        <v>72</v>
      </c>
    </row>
    <row r="65" spans="1:18" x14ac:dyDescent="0.35">
      <c r="A65" t="s">
        <v>635</v>
      </c>
      <c r="B65" s="8" t="s">
        <v>225</v>
      </c>
      <c r="C65" s="11" t="s">
        <v>226</v>
      </c>
      <c r="D65" t="s">
        <v>21</v>
      </c>
      <c r="E65">
        <v>54.216700000000003</v>
      </c>
      <c r="F65">
        <v>21.75</v>
      </c>
      <c r="G65" t="s">
        <v>22</v>
      </c>
      <c r="H65" t="s">
        <v>23</v>
      </c>
      <c r="I65" t="s">
        <v>227</v>
      </c>
      <c r="J65" t="s">
        <v>86</v>
      </c>
      <c r="K65" s="15">
        <v>30</v>
      </c>
      <c r="L65">
        <v>373</v>
      </c>
      <c r="M65">
        <v>11190</v>
      </c>
      <c r="N65" t="s">
        <v>26</v>
      </c>
      <c r="O65">
        <v>2018</v>
      </c>
      <c r="P65" t="s">
        <v>115</v>
      </c>
      <c r="Q65" t="s">
        <v>58</v>
      </c>
      <c r="R65" t="s">
        <v>59</v>
      </c>
    </row>
    <row r="66" spans="1:18" x14ac:dyDescent="0.35">
      <c r="A66" t="s">
        <v>635</v>
      </c>
      <c r="B66" s="8" t="s">
        <v>48</v>
      </c>
      <c r="C66" s="11" t="s">
        <v>49</v>
      </c>
      <c r="D66" t="s">
        <v>21</v>
      </c>
      <c r="E66">
        <v>53.78</v>
      </c>
      <c r="F66">
        <v>20.494199999999999</v>
      </c>
      <c r="G66" t="s">
        <v>32</v>
      </c>
      <c r="H66" t="s">
        <v>33</v>
      </c>
      <c r="I66" t="s">
        <v>228</v>
      </c>
      <c r="J66" t="s">
        <v>134</v>
      </c>
      <c r="K66" s="15">
        <v>10</v>
      </c>
      <c r="L66">
        <v>686</v>
      </c>
      <c r="M66">
        <v>6860</v>
      </c>
      <c r="N66" t="s">
        <v>26</v>
      </c>
      <c r="O66">
        <v>2018</v>
      </c>
      <c r="P66" t="s">
        <v>41</v>
      </c>
      <c r="Q66" t="s">
        <v>42</v>
      </c>
      <c r="R66" t="s">
        <v>43</v>
      </c>
    </row>
    <row r="67" spans="1:18" x14ac:dyDescent="0.35">
      <c r="A67" t="s">
        <v>635</v>
      </c>
      <c r="B67" s="8" t="s">
        <v>229</v>
      </c>
      <c r="C67" s="11" t="s">
        <v>230</v>
      </c>
      <c r="D67" t="s">
        <v>21</v>
      </c>
      <c r="E67">
        <v>54.441899999999997</v>
      </c>
      <c r="F67">
        <v>18.547799999999999</v>
      </c>
      <c r="G67" t="s">
        <v>22</v>
      </c>
      <c r="H67" t="s">
        <v>23</v>
      </c>
      <c r="I67" t="s">
        <v>231</v>
      </c>
      <c r="J67" t="s">
        <v>134</v>
      </c>
      <c r="K67" s="15">
        <v>20</v>
      </c>
      <c r="L67">
        <v>206</v>
      </c>
      <c r="M67">
        <v>4120</v>
      </c>
      <c r="N67" t="s">
        <v>26</v>
      </c>
      <c r="O67">
        <v>2018</v>
      </c>
      <c r="P67" t="s">
        <v>36</v>
      </c>
      <c r="Q67" t="s">
        <v>28</v>
      </c>
      <c r="R67" t="s">
        <v>29</v>
      </c>
    </row>
    <row r="68" spans="1:18" x14ac:dyDescent="0.35">
      <c r="A68" t="s">
        <v>635</v>
      </c>
      <c r="B68" s="8" t="s">
        <v>649</v>
      </c>
      <c r="C68" s="11" t="s">
        <v>233</v>
      </c>
      <c r="D68" t="s">
        <v>21</v>
      </c>
      <c r="E68">
        <v>51.305</v>
      </c>
      <c r="F68">
        <v>17.061399999999999</v>
      </c>
      <c r="G68" t="s">
        <v>22</v>
      </c>
      <c r="H68" t="s">
        <v>79</v>
      </c>
      <c r="I68" t="s">
        <v>85</v>
      </c>
      <c r="J68" t="s">
        <v>86</v>
      </c>
      <c r="K68" s="15">
        <v>15</v>
      </c>
      <c r="L68">
        <v>249</v>
      </c>
      <c r="M68">
        <v>3735</v>
      </c>
      <c r="N68" t="s">
        <v>26</v>
      </c>
      <c r="O68">
        <v>2018</v>
      </c>
      <c r="P68" t="s">
        <v>76</v>
      </c>
      <c r="Q68" t="s">
        <v>42</v>
      </c>
      <c r="R68" t="s">
        <v>43</v>
      </c>
    </row>
    <row r="69" spans="1:18" x14ac:dyDescent="0.35">
      <c r="A69" t="s">
        <v>635</v>
      </c>
      <c r="B69" s="8" t="s">
        <v>234</v>
      </c>
      <c r="C69" s="11" t="s">
        <v>235</v>
      </c>
      <c r="D69" t="s">
        <v>21</v>
      </c>
      <c r="E69">
        <v>50.473799999999997</v>
      </c>
      <c r="F69">
        <v>17.334399999999999</v>
      </c>
      <c r="G69" t="s">
        <v>32</v>
      </c>
      <c r="H69" t="s">
        <v>33</v>
      </c>
      <c r="I69" t="s">
        <v>236</v>
      </c>
      <c r="J69" t="s">
        <v>86</v>
      </c>
      <c r="K69" s="15">
        <v>4</v>
      </c>
      <c r="L69">
        <v>26</v>
      </c>
      <c r="M69">
        <v>104</v>
      </c>
      <c r="N69" t="s">
        <v>26</v>
      </c>
      <c r="O69">
        <v>2018</v>
      </c>
      <c r="P69" t="s">
        <v>105</v>
      </c>
      <c r="Q69" t="s">
        <v>71</v>
      </c>
      <c r="R69" t="s">
        <v>72</v>
      </c>
    </row>
    <row r="70" spans="1:18" x14ac:dyDescent="0.35">
      <c r="A70" t="s">
        <v>635</v>
      </c>
      <c r="B70" s="8" t="s">
        <v>129</v>
      </c>
      <c r="C70" s="11" t="s">
        <v>130</v>
      </c>
      <c r="D70" t="s">
        <v>21</v>
      </c>
      <c r="E70">
        <v>52.183300000000003</v>
      </c>
      <c r="F70">
        <v>20.85</v>
      </c>
      <c r="G70" t="s">
        <v>22</v>
      </c>
      <c r="H70" t="s">
        <v>23</v>
      </c>
      <c r="I70" t="s">
        <v>237</v>
      </c>
      <c r="J70" t="s">
        <v>25</v>
      </c>
      <c r="K70" s="15">
        <v>5</v>
      </c>
      <c r="L70">
        <v>201</v>
      </c>
      <c r="M70">
        <v>1005</v>
      </c>
      <c r="N70" t="s">
        <v>26</v>
      </c>
      <c r="O70">
        <v>2018</v>
      </c>
      <c r="P70" t="s">
        <v>119</v>
      </c>
      <c r="Q70" t="s">
        <v>71</v>
      </c>
      <c r="R70" t="s">
        <v>72</v>
      </c>
    </row>
    <row r="71" spans="1:18" x14ac:dyDescent="0.35">
      <c r="A71" t="s">
        <v>635</v>
      </c>
      <c r="B71" s="8" t="s">
        <v>238</v>
      </c>
      <c r="C71" s="11" t="s">
        <v>239</v>
      </c>
      <c r="D71" t="s">
        <v>21</v>
      </c>
      <c r="E71">
        <v>52.333300000000001</v>
      </c>
      <c r="F71">
        <v>16.883299999999998</v>
      </c>
      <c r="G71" t="s">
        <v>22</v>
      </c>
      <c r="H71" t="s">
        <v>23</v>
      </c>
      <c r="I71" t="s">
        <v>46</v>
      </c>
      <c r="J71" t="s">
        <v>47</v>
      </c>
      <c r="K71" s="15">
        <v>2</v>
      </c>
      <c r="L71">
        <v>435</v>
      </c>
      <c r="M71">
        <v>870</v>
      </c>
      <c r="N71" t="s">
        <v>185</v>
      </c>
      <c r="O71">
        <v>2018</v>
      </c>
      <c r="P71" t="s">
        <v>57</v>
      </c>
      <c r="Q71" t="s">
        <v>58</v>
      </c>
      <c r="R71" t="s">
        <v>59</v>
      </c>
    </row>
    <row r="72" spans="1:18" x14ac:dyDescent="0.35">
      <c r="A72" t="s">
        <v>635</v>
      </c>
      <c r="B72" s="8" t="s">
        <v>160</v>
      </c>
      <c r="C72" s="11" t="s">
        <v>161</v>
      </c>
      <c r="D72" t="s">
        <v>21</v>
      </c>
      <c r="E72">
        <v>53.2667</v>
      </c>
      <c r="F72">
        <v>16.466699999999999</v>
      </c>
      <c r="G72" t="s">
        <v>22</v>
      </c>
      <c r="H72" t="s">
        <v>79</v>
      </c>
      <c r="I72" t="s">
        <v>191</v>
      </c>
      <c r="J72" t="s">
        <v>25</v>
      </c>
      <c r="K72" s="15">
        <v>6</v>
      </c>
      <c r="L72">
        <v>488</v>
      </c>
      <c r="M72">
        <v>2928</v>
      </c>
      <c r="N72" t="s">
        <v>26</v>
      </c>
      <c r="O72">
        <v>2018</v>
      </c>
      <c r="P72" t="s">
        <v>52</v>
      </c>
      <c r="Q72" t="s">
        <v>28</v>
      </c>
      <c r="R72" t="s">
        <v>29</v>
      </c>
    </row>
    <row r="73" spans="1:18" x14ac:dyDescent="0.35">
      <c r="A73" t="s">
        <v>635</v>
      </c>
      <c r="B73" s="8" t="s">
        <v>240</v>
      </c>
      <c r="C73" s="11" t="s">
        <v>241</v>
      </c>
      <c r="D73" t="s">
        <v>21</v>
      </c>
      <c r="E73">
        <v>52.2453</v>
      </c>
      <c r="F73">
        <v>19.6236</v>
      </c>
      <c r="G73" t="s">
        <v>22</v>
      </c>
      <c r="H73" t="s">
        <v>79</v>
      </c>
      <c r="I73" t="s">
        <v>242</v>
      </c>
      <c r="J73" t="s">
        <v>47</v>
      </c>
      <c r="K73" s="15">
        <v>10</v>
      </c>
      <c r="L73">
        <v>179</v>
      </c>
      <c r="M73">
        <v>1790</v>
      </c>
      <c r="N73" t="s">
        <v>26</v>
      </c>
      <c r="O73">
        <v>2018</v>
      </c>
      <c r="P73" t="s">
        <v>70</v>
      </c>
      <c r="Q73" t="s">
        <v>71</v>
      </c>
      <c r="R73" t="s">
        <v>72</v>
      </c>
    </row>
    <row r="74" spans="1:18" x14ac:dyDescent="0.35">
      <c r="A74" t="s">
        <v>635</v>
      </c>
      <c r="B74" s="8" t="s">
        <v>215</v>
      </c>
      <c r="C74" s="11" t="s">
        <v>216</v>
      </c>
      <c r="D74" t="s">
        <v>21</v>
      </c>
      <c r="E74">
        <v>53.252400000000002</v>
      </c>
      <c r="F74">
        <v>14.488300000000001</v>
      </c>
      <c r="G74" t="s">
        <v>22</v>
      </c>
      <c r="H74" t="s">
        <v>79</v>
      </c>
      <c r="I74" t="s">
        <v>243</v>
      </c>
      <c r="J74" t="s">
        <v>47</v>
      </c>
      <c r="K74" s="15">
        <v>6</v>
      </c>
      <c r="L74">
        <v>682</v>
      </c>
      <c r="M74">
        <v>4092</v>
      </c>
      <c r="N74" t="s">
        <v>26</v>
      </c>
      <c r="O74">
        <v>2018</v>
      </c>
      <c r="P74" t="s">
        <v>27</v>
      </c>
      <c r="Q74" t="s">
        <v>28</v>
      </c>
      <c r="R74" t="s">
        <v>29</v>
      </c>
    </row>
    <row r="75" spans="1:18" x14ac:dyDescent="0.35">
      <c r="A75" t="s">
        <v>635</v>
      </c>
      <c r="B75" s="8" t="s">
        <v>222</v>
      </c>
      <c r="C75" s="11" t="s">
        <v>223</v>
      </c>
      <c r="D75" t="s">
        <v>21</v>
      </c>
      <c r="E75">
        <v>50.583300000000001</v>
      </c>
      <c r="F75">
        <v>21.683299999999999</v>
      </c>
      <c r="G75" t="s">
        <v>32</v>
      </c>
      <c r="H75" t="s">
        <v>33</v>
      </c>
      <c r="I75" t="s">
        <v>244</v>
      </c>
      <c r="J75" t="s">
        <v>35</v>
      </c>
      <c r="K75" s="15">
        <v>3</v>
      </c>
      <c r="L75">
        <v>497</v>
      </c>
      <c r="N75" t="s">
        <v>26</v>
      </c>
      <c r="O75">
        <v>2018</v>
      </c>
      <c r="P75" t="s">
        <v>82</v>
      </c>
      <c r="Q75" t="s">
        <v>58</v>
      </c>
      <c r="R75" t="s">
        <v>59</v>
      </c>
    </row>
    <row r="76" spans="1:18" x14ac:dyDescent="0.35">
      <c r="A76" t="s">
        <v>635</v>
      </c>
      <c r="B76" s="8" t="s">
        <v>129</v>
      </c>
      <c r="C76" s="11" t="s">
        <v>130</v>
      </c>
      <c r="D76" t="s">
        <v>21</v>
      </c>
      <c r="E76">
        <v>52.183300000000003</v>
      </c>
      <c r="F76">
        <v>20.85</v>
      </c>
      <c r="G76" t="s">
        <v>22</v>
      </c>
      <c r="H76" t="s">
        <v>23</v>
      </c>
      <c r="I76" t="s">
        <v>245</v>
      </c>
      <c r="J76" t="s">
        <v>86</v>
      </c>
      <c r="K76" s="15">
        <v>10</v>
      </c>
      <c r="L76">
        <v>269</v>
      </c>
      <c r="M76">
        <v>2690</v>
      </c>
      <c r="N76" t="s">
        <v>26</v>
      </c>
      <c r="O76">
        <v>2018</v>
      </c>
      <c r="P76" t="s">
        <v>41</v>
      </c>
      <c r="Q76" t="s">
        <v>42</v>
      </c>
      <c r="R76" t="s">
        <v>43</v>
      </c>
    </row>
    <row r="77" spans="1:18" x14ac:dyDescent="0.35">
      <c r="A77" t="s">
        <v>635</v>
      </c>
      <c r="B77" t="s">
        <v>650</v>
      </c>
      <c r="C77" s="11" t="s">
        <v>247</v>
      </c>
      <c r="D77" t="s">
        <v>21</v>
      </c>
      <c r="E77">
        <v>51.2667</v>
      </c>
      <c r="F77">
        <v>15.933299999999999</v>
      </c>
      <c r="G77" t="s">
        <v>32</v>
      </c>
      <c r="H77" t="s">
        <v>39</v>
      </c>
      <c r="I77" t="s">
        <v>248</v>
      </c>
      <c r="J77" t="s">
        <v>86</v>
      </c>
      <c r="K77" s="15">
        <v>2</v>
      </c>
      <c r="L77">
        <v>284</v>
      </c>
      <c r="M77">
        <v>568</v>
      </c>
      <c r="N77" t="s">
        <v>185</v>
      </c>
      <c r="O77">
        <v>2018</v>
      </c>
      <c r="P77" t="s">
        <v>115</v>
      </c>
      <c r="Q77" t="s">
        <v>58</v>
      </c>
      <c r="R77" t="s">
        <v>59</v>
      </c>
    </row>
    <row r="78" spans="1:18" x14ac:dyDescent="0.35">
      <c r="A78" t="s">
        <v>635</v>
      </c>
      <c r="B78" t="s">
        <v>249</v>
      </c>
      <c r="C78" s="11" t="s">
        <v>250</v>
      </c>
      <c r="D78" t="s">
        <v>21</v>
      </c>
      <c r="E78">
        <v>52.124299999999998</v>
      </c>
      <c r="F78">
        <v>20.665400000000002</v>
      </c>
      <c r="G78" t="s">
        <v>32</v>
      </c>
      <c r="H78" t="s">
        <v>33</v>
      </c>
      <c r="I78" t="s">
        <v>251</v>
      </c>
      <c r="J78" t="s">
        <v>47</v>
      </c>
      <c r="K78" s="15">
        <v>10</v>
      </c>
      <c r="L78">
        <v>624</v>
      </c>
      <c r="N78" t="s">
        <v>26</v>
      </c>
      <c r="O78">
        <v>2018</v>
      </c>
      <c r="P78" t="s">
        <v>52</v>
      </c>
      <c r="Q78" t="s">
        <v>28</v>
      </c>
      <c r="R78" t="s">
        <v>29</v>
      </c>
    </row>
    <row r="79" spans="1:18" x14ac:dyDescent="0.35">
      <c r="A79" t="s">
        <v>635</v>
      </c>
      <c r="B79" t="s">
        <v>252</v>
      </c>
      <c r="C79" s="11" t="s">
        <v>253</v>
      </c>
      <c r="D79" t="s">
        <v>21</v>
      </c>
      <c r="E79">
        <v>53.562800000000003</v>
      </c>
      <c r="F79">
        <v>20.985299999999999</v>
      </c>
      <c r="G79" t="s">
        <v>22</v>
      </c>
      <c r="H79" t="s">
        <v>79</v>
      </c>
      <c r="I79" t="s">
        <v>254</v>
      </c>
      <c r="J79" t="s">
        <v>47</v>
      </c>
      <c r="K79" s="15">
        <v>4</v>
      </c>
      <c r="L79">
        <v>746</v>
      </c>
      <c r="M79">
        <v>2984</v>
      </c>
      <c r="N79" t="s">
        <v>26</v>
      </c>
      <c r="O79">
        <v>2018</v>
      </c>
      <c r="P79" t="s">
        <v>105</v>
      </c>
      <c r="Q79" t="s">
        <v>71</v>
      </c>
      <c r="R79" t="s">
        <v>72</v>
      </c>
    </row>
    <row r="80" spans="1:18" x14ac:dyDescent="0.35">
      <c r="A80" t="s">
        <v>635</v>
      </c>
      <c r="B80" t="s">
        <v>651</v>
      </c>
      <c r="C80" s="11" t="s">
        <v>256</v>
      </c>
      <c r="D80" t="s">
        <v>21</v>
      </c>
      <c r="E80">
        <v>52.183300000000003</v>
      </c>
      <c r="F80">
        <v>22.283300000000001</v>
      </c>
      <c r="G80" t="s">
        <v>32</v>
      </c>
      <c r="H80" t="s">
        <v>33</v>
      </c>
      <c r="I80" t="s">
        <v>257</v>
      </c>
      <c r="J80" t="s">
        <v>95</v>
      </c>
      <c r="K80" s="15">
        <v>5</v>
      </c>
      <c r="L80">
        <v>628</v>
      </c>
      <c r="M80">
        <v>3140</v>
      </c>
      <c r="N80" t="s">
        <v>26</v>
      </c>
      <c r="O80">
        <v>2018</v>
      </c>
      <c r="P80" t="s">
        <v>52</v>
      </c>
      <c r="Q80" t="s">
        <v>28</v>
      </c>
      <c r="R80" t="s">
        <v>29</v>
      </c>
    </row>
    <row r="81" spans="1:18" x14ac:dyDescent="0.35">
      <c r="A81" t="s">
        <v>635</v>
      </c>
      <c r="B81" t="s">
        <v>258</v>
      </c>
      <c r="C81" s="11" t="s">
        <v>259</v>
      </c>
      <c r="D81" t="s">
        <v>21</v>
      </c>
      <c r="E81">
        <v>53.116700000000002</v>
      </c>
      <c r="F81">
        <v>23.166699999999999</v>
      </c>
      <c r="G81" t="s">
        <v>32</v>
      </c>
      <c r="H81" t="s">
        <v>33</v>
      </c>
      <c r="I81" t="s">
        <v>260</v>
      </c>
      <c r="J81" t="s">
        <v>86</v>
      </c>
      <c r="K81" s="15">
        <v>20</v>
      </c>
      <c r="L81">
        <v>137</v>
      </c>
      <c r="M81">
        <v>2740</v>
      </c>
      <c r="N81" t="s">
        <v>26</v>
      </c>
      <c r="O81">
        <v>2018</v>
      </c>
      <c r="P81" t="s">
        <v>119</v>
      </c>
      <c r="Q81" t="s">
        <v>71</v>
      </c>
      <c r="R81" t="s">
        <v>72</v>
      </c>
    </row>
    <row r="82" spans="1:18" x14ac:dyDescent="0.35">
      <c r="A82" t="s">
        <v>635</v>
      </c>
      <c r="B82" t="s">
        <v>261</v>
      </c>
      <c r="C82" s="11" t="s">
        <v>262</v>
      </c>
      <c r="D82" t="s">
        <v>21</v>
      </c>
      <c r="E82">
        <v>52.702500000000001</v>
      </c>
      <c r="F82">
        <v>21.082799999999999</v>
      </c>
      <c r="G82" t="s">
        <v>22</v>
      </c>
      <c r="H82" t="s">
        <v>23</v>
      </c>
      <c r="I82" t="s">
        <v>263</v>
      </c>
      <c r="J82" t="s">
        <v>86</v>
      </c>
      <c r="K82" s="15">
        <v>20</v>
      </c>
      <c r="L82">
        <v>627</v>
      </c>
      <c r="M82">
        <v>12540</v>
      </c>
      <c r="N82" t="s">
        <v>26</v>
      </c>
      <c r="O82">
        <v>2018</v>
      </c>
      <c r="P82" t="s">
        <v>70</v>
      </c>
      <c r="Q82" t="s">
        <v>71</v>
      </c>
      <c r="R82" t="s">
        <v>72</v>
      </c>
    </row>
    <row r="83" spans="1:18" x14ac:dyDescent="0.35">
      <c r="A83" t="s">
        <v>635</v>
      </c>
      <c r="B83" t="s">
        <v>639</v>
      </c>
      <c r="C83" s="11" t="s">
        <v>61</v>
      </c>
      <c r="D83" t="s">
        <v>652</v>
      </c>
      <c r="E83">
        <v>52.7958</v>
      </c>
      <c r="F83">
        <v>18.261099999999999</v>
      </c>
      <c r="G83" t="s">
        <v>32</v>
      </c>
      <c r="H83" t="s">
        <v>33</v>
      </c>
      <c r="I83" t="s">
        <v>265</v>
      </c>
      <c r="J83" t="s">
        <v>134</v>
      </c>
      <c r="K83" s="15">
        <v>35</v>
      </c>
      <c r="L83">
        <v>713</v>
      </c>
      <c r="M83">
        <v>24955</v>
      </c>
      <c r="N83" t="s">
        <v>26</v>
      </c>
      <c r="O83">
        <v>2018</v>
      </c>
      <c r="P83" t="s">
        <v>115</v>
      </c>
      <c r="Q83" t="s">
        <v>58</v>
      </c>
      <c r="R83" t="s">
        <v>59</v>
      </c>
    </row>
    <row r="84" spans="1:18" x14ac:dyDescent="0.35">
      <c r="A84" t="s">
        <v>635</v>
      </c>
      <c r="B84" t="s">
        <v>266</v>
      </c>
      <c r="C84" s="11" t="s">
        <v>267</v>
      </c>
      <c r="D84" t="s">
        <v>21</v>
      </c>
      <c r="E84">
        <v>50.323900000000002</v>
      </c>
      <c r="F84">
        <v>19.194700000000001</v>
      </c>
      <c r="G84" t="s">
        <v>22</v>
      </c>
      <c r="H84" t="s">
        <v>79</v>
      </c>
      <c r="I84" t="s">
        <v>114</v>
      </c>
      <c r="J84" t="s">
        <v>86</v>
      </c>
      <c r="K84" s="15">
        <v>24</v>
      </c>
      <c r="L84">
        <v>307</v>
      </c>
      <c r="M84">
        <v>7368</v>
      </c>
      <c r="N84" t="s">
        <v>26</v>
      </c>
      <c r="O84">
        <v>2018</v>
      </c>
      <c r="P84" t="s">
        <v>119</v>
      </c>
      <c r="Q84" t="s">
        <v>71</v>
      </c>
      <c r="R84" t="s">
        <v>72</v>
      </c>
    </row>
    <row r="85" spans="1:18" x14ac:dyDescent="0.35">
      <c r="A85" t="s">
        <v>635</v>
      </c>
      <c r="B85" t="s">
        <v>268</v>
      </c>
      <c r="C85" s="11" t="s">
        <v>269</v>
      </c>
      <c r="D85" t="s">
        <v>21</v>
      </c>
      <c r="E85">
        <v>51.783299999999997</v>
      </c>
      <c r="F85">
        <v>21.2</v>
      </c>
      <c r="G85" t="s">
        <v>22</v>
      </c>
      <c r="H85" t="s">
        <v>23</v>
      </c>
      <c r="I85" t="s">
        <v>265</v>
      </c>
      <c r="J85" t="s">
        <v>134</v>
      </c>
      <c r="K85" s="15">
        <v>4</v>
      </c>
      <c r="L85">
        <v>713</v>
      </c>
      <c r="M85">
        <v>2852</v>
      </c>
      <c r="N85" t="s">
        <v>26</v>
      </c>
      <c r="O85">
        <v>2018</v>
      </c>
      <c r="P85" t="s">
        <v>63</v>
      </c>
      <c r="Q85" t="s">
        <v>28</v>
      </c>
      <c r="R85" t="s">
        <v>29</v>
      </c>
    </row>
    <row r="86" spans="1:18" x14ac:dyDescent="0.35">
      <c r="A86" t="s">
        <v>635</v>
      </c>
      <c r="B86" t="s">
        <v>270</v>
      </c>
      <c r="C86" s="11" t="s">
        <v>271</v>
      </c>
      <c r="D86" t="s">
        <v>21</v>
      </c>
      <c r="E86">
        <v>53.416699999999999</v>
      </c>
      <c r="F86">
        <v>19.583300000000001</v>
      </c>
      <c r="G86" t="s">
        <v>22</v>
      </c>
      <c r="H86" t="s">
        <v>79</v>
      </c>
      <c r="I86" t="s">
        <v>40</v>
      </c>
      <c r="J86" t="s">
        <v>35</v>
      </c>
      <c r="K86" s="15">
        <v>60</v>
      </c>
      <c r="L86">
        <v>66</v>
      </c>
      <c r="M86">
        <v>3960</v>
      </c>
      <c r="N86" t="s">
        <v>26</v>
      </c>
      <c r="O86">
        <v>2018</v>
      </c>
      <c r="P86" t="s">
        <v>63</v>
      </c>
      <c r="Q86" t="s">
        <v>28</v>
      </c>
      <c r="R86" t="s">
        <v>29</v>
      </c>
    </row>
    <row r="87" spans="1:18" x14ac:dyDescent="0.35">
      <c r="A87" t="s">
        <v>635</v>
      </c>
      <c r="B87" t="s">
        <v>189</v>
      </c>
      <c r="C87" s="11" t="s">
        <v>190</v>
      </c>
      <c r="D87" t="s">
        <v>21</v>
      </c>
      <c r="E87">
        <v>53.755800000000001</v>
      </c>
      <c r="F87">
        <v>19.197500000000002</v>
      </c>
      <c r="G87" t="s">
        <v>22</v>
      </c>
      <c r="H87" t="s">
        <v>79</v>
      </c>
      <c r="I87" t="s">
        <v>265</v>
      </c>
      <c r="J87" t="s">
        <v>134</v>
      </c>
      <c r="K87" s="15">
        <v>5</v>
      </c>
      <c r="L87">
        <v>713</v>
      </c>
      <c r="M87">
        <v>3565</v>
      </c>
      <c r="N87" t="s">
        <v>26</v>
      </c>
      <c r="O87">
        <v>2018</v>
      </c>
      <c r="P87" t="s">
        <v>87</v>
      </c>
      <c r="Q87" t="s">
        <v>42</v>
      </c>
      <c r="R87" t="s">
        <v>43</v>
      </c>
    </row>
    <row r="88" spans="1:18" x14ac:dyDescent="0.35">
      <c r="A88" t="s">
        <v>635</v>
      </c>
      <c r="B88" t="s">
        <v>272</v>
      </c>
      <c r="C88" s="11" t="s">
        <v>273</v>
      </c>
      <c r="D88" t="s">
        <v>264</v>
      </c>
      <c r="E88">
        <v>51.4</v>
      </c>
      <c r="F88">
        <v>19.683299999999999</v>
      </c>
      <c r="G88" t="s">
        <v>22</v>
      </c>
      <c r="H88" t="s">
        <v>23</v>
      </c>
      <c r="I88" t="s">
        <v>274</v>
      </c>
      <c r="J88" t="s">
        <v>95</v>
      </c>
      <c r="K88" s="15">
        <v>15</v>
      </c>
      <c r="L88">
        <v>610</v>
      </c>
      <c r="M88">
        <v>9150</v>
      </c>
      <c r="N88" t="s">
        <v>26</v>
      </c>
      <c r="O88">
        <v>2018</v>
      </c>
      <c r="P88" t="s">
        <v>115</v>
      </c>
      <c r="Q88" t="s">
        <v>58</v>
      </c>
      <c r="R88" t="s">
        <v>59</v>
      </c>
    </row>
    <row r="89" spans="1:18" x14ac:dyDescent="0.35">
      <c r="A89" t="s">
        <v>635</v>
      </c>
      <c r="B89" t="s">
        <v>275</v>
      </c>
      <c r="C89" s="11" t="s">
        <v>276</v>
      </c>
      <c r="D89" t="s">
        <v>21</v>
      </c>
      <c r="E89">
        <v>50.672199999999997</v>
      </c>
      <c r="F89">
        <v>17.9253</v>
      </c>
      <c r="G89" t="s">
        <v>32</v>
      </c>
      <c r="H89" t="s">
        <v>33</v>
      </c>
      <c r="I89" t="s">
        <v>277</v>
      </c>
      <c r="J89" t="s">
        <v>86</v>
      </c>
      <c r="K89" s="15">
        <v>10</v>
      </c>
      <c r="L89">
        <v>794</v>
      </c>
      <c r="M89">
        <v>7940</v>
      </c>
      <c r="N89" t="s">
        <v>26</v>
      </c>
      <c r="O89">
        <v>2018</v>
      </c>
      <c r="P89" t="s">
        <v>70</v>
      </c>
      <c r="Q89" t="s">
        <v>71</v>
      </c>
      <c r="R89" t="s">
        <v>72</v>
      </c>
    </row>
    <row r="90" spans="1:18" x14ac:dyDescent="0.35">
      <c r="A90" t="s">
        <v>635</v>
      </c>
      <c r="B90" t="s">
        <v>146</v>
      </c>
      <c r="C90" s="11" t="s">
        <v>147</v>
      </c>
      <c r="D90" t="s">
        <v>21</v>
      </c>
      <c r="E90">
        <v>50.475099999999998</v>
      </c>
      <c r="F90">
        <v>17.965399999999999</v>
      </c>
      <c r="G90" t="s">
        <v>32</v>
      </c>
      <c r="H90" t="s">
        <v>39</v>
      </c>
      <c r="I90" t="s">
        <v>108</v>
      </c>
      <c r="J90" t="s">
        <v>86</v>
      </c>
      <c r="K90" s="15">
        <v>4</v>
      </c>
      <c r="L90">
        <v>288</v>
      </c>
      <c r="M90">
        <v>1152</v>
      </c>
      <c r="N90" t="s">
        <v>26</v>
      </c>
      <c r="O90">
        <v>2018</v>
      </c>
      <c r="P90" t="s">
        <v>52</v>
      </c>
      <c r="Q90" t="s">
        <v>28</v>
      </c>
      <c r="R90" t="s">
        <v>29</v>
      </c>
    </row>
    <row r="91" spans="1:18" x14ac:dyDescent="0.35">
      <c r="A91" t="s">
        <v>635</v>
      </c>
      <c r="B91" t="s">
        <v>278</v>
      </c>
      <c r="C91" s="11" t="s">
        <v>279</v>
      </c>
      <c r="D91" t="s">
        <v>21</v>
      </c>
      <c r="E91">
        <v>51.9833</v>
      </c>
      <c r="F91">
        <v>22.8</v>
      </c>
      <c r="G91" t="s">
        <v>32</v>
      </c>
      <c r="H91" t="s">
        <v>33</v>
      </c>
      <c r="I91" t="s">
        <v>151</v>
      </c>
      <c r="J91" t="s">
        <v>134</v>
      </c>
      <c r="K91" s="15">
        <v>2</v>
      </c>
      <c r="L91">
        <v>164</v>
      </c>
      <c r="M91">
        <v>328</v>
      </c>
      <c r="N91" t="s">
        <v>26</v>
      </c>
      <c r="O91">
        <v>2018</v>
      </c>
      <c r="P91" t="s">
        <v>41</v>
      </c>
      <c r="Q91" t="s">
        <v>42</v>
      </c>
      <c r="R91" t="s">
        <v>43</v>
      </c>
    </row>
    <row r="92" spans="1:18" x14ac:dyDescent="0.35">
      <c r="A92" t="s">
        <v>635</v>
      </c>
      <c r="B92" t="s">
        <v>653</v>
      </c>
      <c r="C92" s="11" t="s">
        <v>281</v>
      </c>
      <c r="D92" t="s">
        <v>21</v>
      </c>
      <c r="E92">
        <v>52.253100000000003</v>
      </c>
      <c r="F92">
        <v>15.9178</v>
      </c>
      <c r="G92" t="s">
        <v>22</v>
      </c>
      <c r="H92" t="s">
        <v>23</v>
      </c>
      <c r="I92" t="s">
        <v>282</v>
      </c>
      <c r="J92" t="s">
        <v>86</v>
      </c>
      <c r="K92" s="15">
        <v>5</v>
      </c>
      <c r="L92">
        <v>659</v>
      </c>
      <c r="M92">
        <v>3295</v>
      </c>
      <c r="N92" t="s">
        <v>26</v>
      </c>
      <c r="O92">
        <v>2018</v>
      </c>
      <c r="P92" t="s">
        <v>82</v>
      </c>
      <c r="Q92" t="s">
        <v>58</v>
      </c>
      <c r="R92" t="s">
        <v>59</v>
      </c>
    </row>
    <row r="93" spans="1:18" x14ac:dyDescent="0.35">
      <c r="A93" t="s">
        <v>635</v>
      </c>
      <c r="B93" t="s">
        <v>283</v>
      </c>
      <c r="C93" s="11" t="s">
        <v>284</v>
      </c>
      <c r="D93" t="s">
        <v>21</v>
      </c>
      <c r="E93">
        <v>54.383299999999998</v>
      </c>
      <c r="F93">
        <v>19.833300000000001</v>
      </c>
      <c r="G93" t="s">
        <v>32</v>
      </c>
      <c r="H93" t="s">
        <v>33</v>
      </c>
      <c r="I93" t="s">
        <v>285</v>
      </c>
      <c r="J93" t="s">
        <v>95</v>
      </c>
      <c r="K93" s="15">
        <v>6</v>
      </c>
      <c r="L93">
        <v>385</v>
      </c>
      <c r="M93">
        <v>2310</v>
      </c>
      <c r="N93" t="s">
        <v>185</v>
      </c>
      <c r="O93">
        <v>2018</v>
      </c>
      <c r="P93" t="s">
        <v>70</v>
      </c>
      <c r="Q93" t="s">
        <v>71</v>
      </c>
      <c r="R93" t="s">
        <v>72</v>
      </c>
    </row>
    <row r="94" spans="1:18" x14ac:dyDescent="0.35">
      <c r="A94" t="s">
        <v>635</v>
      </c>
      <c r="B94" t="s">
        <v>654</v>
      </c>
      <c r="C94" s="11" t="s">
        <v>287</v>
      </c>
      <c r="D94" t="s">
        <v>21</v>
      </c>
      <c r="E94">
        <v>50.297600000000003</v>
      </c>
      <c r="F94">
        <v>18.676600000000001</v>
      </c>
      <c r="G94" t="s">
        <v>32</v>
      </c>
      <c r="H94" t="s">
        <v>33</v>
      </c>
      <c r="I94" t="s">
        <v>66</v>
      </c>
      <c r="J94" t="s">
        <v>25</v>
      </c>
      <c r="K94" s="15">
        <v>5</v>
      </c>
      <c r="L94">
        <v>742</v>
      </c>
      <c r="M94">
        <v>3710</v>
      </c>
      <c r="N94" t="s">
        <v>26</v>
      </c>
      <c r="O94">
        <v>2018</v>
      </c>
      <c r="P94" t="s">
        <v>36</v>
      </c>
      <c r="Q94" t="s">
        <v>28</v>
      </c>
      <c r="R94" t="s">
        <v>29</v>
      </c>
    </row>
    <row r="95" spans="1:18" x14ac:dyDescent="0.35">
      <c r="A95" t="s">
        <v>635</v>
      </c>
      <c r="B95" t="s">
        <v>288</v>
      </c>
      <c r="C95" s="11" t="s">
        <v>289</v>
      </c>
      <c r="D95" t="s">
        <v>21</v>
      </c>
      <c r="E95">
        <v>49.75</v>
      </c>
      <c r="F95">
        <v>18.633299999999998</v>
      </c>
      <c r="G95" t="s">
        <v>32</v>
      </c>
      <c r="H95" t="s">
        <v>33</v>
      </c>
      <c r="I95" t="s">
        <v>151</v>
      </c>
      <c r="J95" t="s">
        <v>134</v>
      </c>
      <c r="K95" s="15">
        <v>3</v>
      </c>
      <c r="L95">
        <v>164</v>
      </c>
      <c r="M95">
        <v>492</v>
      </c>
      <c r="N95" t="s">
        <v>26</v>
      </c>
      <c r="O95">
        <v>2018</v>
      </c>
      <c r="P95" t="s">
        <v>87</v>
      </c>
      <c r="Q95" t="s">
        <v>42</v>
      </c>
      <c r="R95" t="s">
        <v>43</v>
      </c>
    </row>
    <row r="96" spans="1:18" x14ac:dyDescent="0.35">
      <c r="A96" t="s">
        <v>635</v>
      </c>
      <c r="B96" t="s">
        <v>290</v>
      </c>
      <c r="C96" s="11" t="s">
        <v>291</v>
      </c>
      <c r="D96" t="s">
        <v>21</v>
      </c>
      <c r="E96">
        <v>51.8</v>
      </c>
      <c r="F96">
        <v>16.3</v>
      </c>
      <c r="G96" t="s">
        <v>22</v>
      </c>
      <c r="H96" t="s">
        <v>23</v>
      </c>
      <c r="I96" t="s">
        <v>292</v>
      </c>
      <c r="J96" t="s">
        <v>47</v>
      </c>
      <c r="K96" s="15">
        <v>10</v>
      </c>
      <c r="L96">
        <v>298</v>
      </c>
      <c r="M96">
        <v>2980</v>
      </c>
      <c r="N96" t="s">
        <v>26</v>
      </c>
      <c r="O96">
        <v>2018</v>
      </c>
      <c r="P96" t="s">
        <v>105</v>
      </c>
      <c r="Q96" t="s">
        <v>71</v>
      </c>
      <c r="R96" t="s">
        <v>72</v>
      </c>
    </row>
    <row r="97" spans="1:18" x14ac:dyDescent="0.35">
      <c r="A97" t="s">
        <v>635</v>
      </c>
      <c r="B97" t="s">
        <v>655</v>
      </c>
      <c r="C97" s="11" t="s">
        <v>294</v>
      </c>
      <c r="D97" t="s">
        <v>21</v>
      </c>
      <c r="E97">
        <v>53.349200000000003</v>
      </c>
      <c r="F97">
        <v>18.426100000000002</v>
      </c>
      <c r="G97" t="s">
        <v>22</v>
      </c>
      <c r="H97" t="s">
        <v>23</v>
      </c>
      <c r="I97" t="s">
        <v>274</v>
      </c>
      <c r="J97" t="s">
        <v>95</v>
      </c>
      <c r="K97" s="15">
        <v>10</v>
      </c>
      <c r="L97">
        <v>610</v>
      </c>
      <c r="M97">
        <v>6100</v>
      </c>
      <c r="N97" t="s">
        <v>26</v>
      </c>
      <c r="O97">
        <v>2018</v>
      </c>
      <c r="P97" t="s">
        <v>87</v>
      </c>
      <c r="Q97" t="s">
        <v>42</v>
      </c>
      <c r="R97" t="s">
        <v>43</v>
      </c>
    </row>
    <row r="98" spans="1:18" x14ac:dyDescent="0.35">
      <c r="A98" t="s">
        <v>635</v>
      </c>
      <c r="B98" t="s">
        <v>295</v>
      </c>
      <c r="C98" s="11" t="s">
        <v>296</v>
      </c>
      <c r="D98" t="s">
        <v>21</v>
      </c>
      <c r="E98">
        <v>50.313099999999999</v>
      </c>
      <c r="F98">
        <v>17.374199999999998</v>
      </c>
      <c r="G98" t="s">
        <v>22</v>
      </c>
      <c r="H98" t="s">
        <v>79</v>
      </c>
      <c r="I98" t="s">
        <v>297</v>
      </c>
      <c r="J98" t="s">
        <v>86</v>
      </c>
      <c r="K98" s="15">
        <v>3</v>
      </c>
      <c r="L98">
        <v>318</v>
      </c>
      <c r="M98">
        <v>954</v>
      </c>
      <c r="N98" t="s">
        <v>26</v>
      </c>
      <c r="O98">
        <v>2018</v>
      </c>
      <c r="P98" t="s">
        <v>105</v>
      </c>
      <c r="Q98" t="s">
        <v>71</v>
      </c>
      <c r="R98" t="s">
        <v>72</v>
      </c>
    </row>
    <row r="99" spans="1:18" x14ac:dyDescent="0.35">
      <c r="A99" t="s">
        <v>635</v>
      </c>
      <c r="B99" t="s">
        <v>178</v>
      </c>
      <c r="C99" s="11" t="s">
        <v>179</v>
      </c>
      <c r="D99" t="s">
        <v>21</v>
      </c>
      <c r="E99">
        <v>54.166699999999999</v>
      </c>
      <c r="F99">
        <v>19.399999999999999</v>
      </c>
      <c r="G99" t="s">
        <v>32</v>
      </c>
      <c r="H99" t="s">
        <v>39</v>
      </c>
      <c r="I99" t="s">
        <v>298</v>
      </c>
      <c r="J99" t="s">
        <v>25</v>
      </c>
      <c r="K99" s="15">
        <v>6</v>
      </c>
      <c r="L99">
        <v>154</v>
      </c>
      <c r="M99">
        <v>924</v>
      </c>
      <c r="N99" t="s">
        <v>26</v>
      </c>
      <c r="O99">
        <v>2018</v>
      </c>
      <c r="P99" t="s">
        <v>41</v>
      </c>
      <c r="Q99" t="s">
        <v>42</v>
      </c>
      <c r="R99" t="s">
        <v>43</v>
      </c>
    </row>
    <row r="100" spans="1:18" x14ac:dyDescent="0.35">
      <c r="A100" t="s">
        <v>635</v>
      </c>
      <c r="B100" t="s">
        <v>123</v>
      </c>
      <c r="C100" s="11" t="s">
        <v>124</v>
      </c>
      <c r="D100" t="s">
        <v>21</v>
      </c>
      <c r="E100">
        <v>51.2667</v>
      </c>
      <c r="F100">
        <v>15.566700000000001</v>
      </c>
      <c r="G100" t="s">
        <v>32</v>
      </c>
      <c r="H100" t="s">
        <v>33</v>
      </c>
      <c r="I100" t="s">
        <v>299</v>
      </c>
      <c r="J100" t="s">
        <v>25</v>
      </c>
      <c r="K100" s="15">
        <v>30</v>
      </c>
      <c r="L100">
        <v>708</v>
      </c>
      <c r="M100">
        <v>21240</v>
      </c>
      <c r="N100" t="s">
        <v>26</v>
      </c>
      <c r="O100">
        <v>2018</v>
      </c>
      <c r="P100" t="s">
        <v>36</v>
      </c>
      <c r="Q100" t="s">
        <v>28</v>
      </c>
      <c r="R100" t="s">
        <v>29</v>
      </c>
    </row>
    <row r="101" spans="1:18" x14ac:dyDescent="0.35">
      <c r="A101" t="s">
        <v>635</v>
      </c>
      <c r="B101" t="s">
        <v>300</v>
      </c>
      <c r="C101" s="11" t="s">
        <v>301</v>
      </c>
      <c r="D101" t="s">
        <v>656</v>
      </c>
      <c r="E101">
        <v>53.816699999999997</v>
      </c>
      <c r="F101">
        <v>22.35</v>
      </c>
      <c r="G101" t="s">
        <v>32</v>
      </c>
      <c r="H101" t="s">
        <v>33</v>
      </c>
      <c r="I101" t="s">
        <v>302</v>
      </c>
      <c r="J101" t="s">
        <v>86</v>
      </c>
      <c r="K101" s="15">
        <v>4</v>
      </c>
      <c r="L101">
        <v>121</v>
      </c>
      <c r="M101">
        <v>484</v>
      </c>
      <c r="N101" t="s">
        <v>26</v>
      </c>
      <c r="O101">
        <v>2018</v>
      </c>
      <c r="P101" t="s">
        <v>70</v>
      </c>
      <c r="Q101" t="s">
        <v>71</v>
      </c>
      <c r="R101" t="s">
        <v>72</v>
      </c>
    </row>
    <row r="102" spans="1:18" x14ac:dyDescent="0.35">
      <c r="A102" t="s">
        <v>635</v>
      </c>
      <c r="B102" t="s">
        <v>44</v>
      </c>
      <c r="C102" s="11" t="s">
        <v>45</v>
      </c>
      <c r="D102" t="s">
        <v>21</v>
      </c>
      <c r="E102">
        <v>50.333300000000001</v>
      </c>
      <c r="F102">
        <v>19.083300000000001</v>
      </c>
      <c r="G102" t="s">
        <v>22</v>
      </c>
      <c r="H102" t="s">
        <v>23</v>
      </c>
      <c r="I102" t="s">
        <v>303</v>
      </c>
      <c r="J102" t="s">
        <v>95</v>
      </c>
      <c r="K102" s="15">
        <v>5</v>
      </c>
      <c r="L102">
        <v>470</v>
      </c>
      <c r="M102">
        <v>2350</v>
      </c>
      <c r="N102" t="s">
        <v>26</v>
      </c>
      <c r="O102">
        <v>2018</v>
      </c>
      <c r="P102" t="s">
        <v>63</v>
      </c>
      <c r="Q102" t="s">
        <v>28</v>
      </c>
      <c r="R102" t="s">
        <v>29</v>
      </c>
    </row>
    <row r="103" spans="1:18" x14ac:dyDescent="0.35">
      <c r="A103" t="s">
        <v>635</v>
      </c>
      <c r="B103" t="s">
        <v>272</v>
      </c>
      <c r="C103" s="11" t="s">
        <v>273</v>
      </c>
      <c r="D103" t="s">
        <v>21</v>
      </c>
      <c r="E103">
        <v>51.4</v>
      </c>
      <c r="F103">
        <v>19.683299999999999</v>
      </c>
      <c r="G103" t="s">
        <v>22</v>
      </c>
      <c r="H103" t="s">
        <v>23</v>
      </c>
      <c r="I103" t="s">
        <v>191</v>
      </c>
      <c r="J103" t="s">
        <v>25</v>
      </c>
      <c r="K103" s="15">
        <v>5</v>
      </c>
      <c r="L103">
        <v>488</v>
      </c>
      <c r="M103">
        <v>2440</v>
      </c>
      <c r="N103" t="s">
        <v>26</v>
      </c>
      <c r="O103">
        <v>2018</v>
      </c>
      <c r="P103" t="s">
        <v>41</v>
      </c>
      <c r="Q103" t="s">
        <v>42</v>
      </c>
      <c r="R103" t="s">
        <v>43</v>
      </c>
    </row>
    <row r="104" spans="1:18" x14ac:dyDescent="0.35">
      <c r="A104" t="s">
        <v>635</v>
      </c>
      <c r="B104" t="s">
        <v>73</v>
      </c>
      <c r="C104" s="11" t="s">
        <v>74</v>
      </c>
      <c r="D104" t="s">
        <v>21</v>
      </c>
      <c r="E104">
        <v>50.061399999999999</v>
      </c>
      <c r="F104">
        <v>19.937200000000001</v>
      </c>
      <c r="G104" t="s">
        <v>22</v>
      </c>
      <c r="H104" t="s">
        <v>23</v>
      </c>
      <c r="I104" t="s">
        <v>304</v>
      </c>
      <c r="J104" t="s">
        <v>86</v>
      </c>
      <c r="K104" s="15">
        <v>10</v>
      </c>
      <c r="L104">
        <v>647</v>
      </c>
      <c r="M104">
        <v>6470</v>
      </c>
      <c r="N104" t="s">
        <v>26</v>
      </c>
      <c r="O104">
        <v>2018</v>
      </c>
      <c r="P104" t="s">
        <v>76</v>
      </c>
      <c r="Q104" t="s">
        <v>42</v>
      </c>
      <c r="R104" t="s">
        <v>43</v>
      </c>
    </row>
    <row r="105" spans="1:18" x14ac:dyDescent="0.35">
      <c r="A105" t="s">
        <v>635</v>
      </c>
      <c r="B105" t="s">
        <v>657</v>
      </c>
      <c r="C105" s="11" t="s">
        <v>306</v>
      </c>
      <c r="D105" t="s">
        <v>21</v>
      </c>
      <c r="E105">
        <v>50.6</v>
      </c>
      <c r="F105">
        <v>17.0444</v>
      </c>
      <c r="G105" t="s">
        <v>22</v>
      </c>
      <c r="H105" t="s">
        <v>79</v>
      </c>
      <c r="I105" t="s">
        <v>307</v>
      </c>
      <c r="J105" t="s">
        <v>86</v>
      </c>
      <c r="K105" s="15">
        <v>6</v>
      </c>
      <c r="L105">
        <v>25</v>
      </c>
      <c r="M105">
        <v>150</v>
      </c>
      <c r="N105" t="s">
        <v>26</v>
      </c>
      <c r="O105">
        <v>2018</v>
      </c>
      <c r="P105" t="s">
        <v>119</v>
      </c>
      <c r="Q105" t="s">
        <v>71</v>
      </c>
      <c r="R105" t="s">
        <v>72</v>
      </c>
    </row>
    <row r="106" spans="1:18" x14ac:dyDescent="0.35">
      <c r="A106" t="s">
        <v>635</v>
      </c>
      <c r="B106" t="s">
        <v>308</v>
      </c>
      <c r="C106" s="11" t="s">
        <v>309</v>
      </c>
      <c r="D106" t="s">
        <v>658</v>
      </c>
      <c r="E106">
        <v>51.383299999999998</v>
      </c>
      <c r="F106">
        <v>20.283300000000001</v>
      </c>
      <c r="G106" t="s">
        <v>32</v>
      </c>
      <c r="H106" t="s">
        <v>39</v>
      </c>
      <c r="I106" t="s">
        <v>310</v>
      </c>
      <c r="J106" t="s">
        <v>86</v>
      </c>
      <c r="K106" s="15">
        <v>6</v>
      </c>
      <c r="L106">
        <v>182</v>
      </c>
      <c r="M106">
        <v>1092</v>
      </c>
      <c r="N106" t="s">
        <v>26</v>
      </c>
      <c r="O106">
        <v>2018</v>
      </c>
      <c r="P106" t="s">
        <v>41</v>
      </c>
      <c r="Q106" t="s">
        <v>42</v>
      </c>
      <c r="R106" t="s">
        <v>43</v>
      </c>
    </row>
    <row r="107" spans="1:18" x14ac:dyDescent="0.35">
      <c r="A107" t="s">
        <v>635</v>
      </c>
      <c r="B107" t="s">
        <v>311</v>
      </c>
      <c r="C107" s="11" t="s">
        <v>312</v>
      </c>
      <c r="D107" t="s">
        <v>21</v>
      </c>
      <c r="E107">
        <v>49.784999999999997</v>
      </c>
      <c r="F107">
        <v>22.767299999999999</v>
      </c>
      <c r="G107" t="s">
        <v>32</v>
      </c>
      <c r="H107" t="s">
        <v>39</v>
      </c>
      <c r="I107" t="s">
        <v>313</v>
      </c>
      <c r="J107" t="s">
        <v>25</v>
      </c>
      <c r="K107" s="15">
        <v>10</v>
      </c>
      <c r="L107">
        <v>130</v>
      </c>
      <c r="M107">
        <v>1300</v>
      </c>
      <c r="N107" t="s">
        <v>26</v>
      </c>
      <c r="O107">
        <v>2018</v>
      </c>
      <c r="P107" t="s">
        <v>57</v>
      </c>
      <c r="Q107" t="s">
        <v>58</v>
      </c>
      <c r="R107" t="s">
        <v>59</v>
      </c>
    </row>
    <row r="108" spans="1:18" x14ac:dyDescent="0.35">
      <c r="A108" t="s">
        <v>635</v>
      </c>
      <c r="B108" t="s">
        <v>314</v>
      </c>
      <c r="C108" s="11" t="s">
        <v>315</v>
      </c>
      <c r="D108" t="s">
        <v>21</v>
      </c>
      <c r="E108">
        <v>50.016199999999998</v>
      </c>
      <c r="F108">
        <v>22.677800000000001</v>
      </c>
      <c r="G108" t="s">
        <v>22</v>
      </c>
      <c r="H108" t="s">
        <v>79</v>
      </c>
      <c r="I108" t="s">
        <v>184</v>
      </c>
      <c r="J108" t="s">
        <v>35</v>
      </c>
      <c r="K108" s="15">
        <v>10</v>
      </c>
      <c r="L108">
        <v>122</v>
      </c>
      <c r="M108">
        <v>1220</v>
      </c>
      <c r="N108" t="s">
        <v>26</v>
      </c>
      <c r="O108">
        <v>2018</v>
      </c>
      <c r="P108" t="s">
        <v>119</v>
      </c>
      <c r="Q108" t="s">
        <v>71</v>
      </c>
      <c r="R108" t="s">
        <v>72</v>
      </c>
    </row>
    <row r="109" spans="1:18" x14ac:dyDescent="0.35">
      <c r="A109" t="s">
        <v>635</v>
      </c>
      <c r="B109" t="s">
        <v>316</v>
      </c>
      <c r="C109" s="11" t="s">
        <v>317</v>
      </c>
      <c r="D109" t="s">
        <v>21</v>
      </c>
      <c r="E109">
        <v>54.566699999999997</v>
      </c>
      <c r="F109">
        <v>18.399999999999999</v>
      </c>
      <c r="G109" t="s">
        <v>32</v>
      </c>
      <c r="H109" t="s">
        <v>33</v>
      </c>
      <c r="I109" t="s">
        <v>318</v>
      </c>
      <c r="J109" t="s">
        <v>86</v>
      </c>
      <c r="K109" s="15">
        <v>8</v>
      </c>
      <c r="L109">
        <v>655</v>
      </c>
      <c r="M109">
        <v>5240</v>
      </c>
      <c r="N109" t="s">
        <v>26</v>
      </c>
      <c r="O109">
        <v>2018</v>
      </c>
      <c r="P109" t="s">
        <v>36</v>
      </c>
      <c r="Q109" t="s">
        <v>28</v>
      </c>
      <c r="R109" t="s">
        <v>29</v>
      </c>
    </row>
    <row r="110" spans="1:18" x14ac:dyDescent="0.35">
      <c r="A110" t="s">
        <v>635</v>
      </c>
      <c r="B110" t="s">
        <v>319</v>
      </c>
      <c r="C110" s="11" t="s">
        <v>320</v>
      </c>
      <c r="D110" t="s">
        <v>21</v>
      </c>
      <c r="E110">
        <v>52.2333</v>
      </c>
      <c r="F110">
        <v>19.366700000000002</v>
      </c>
      <c r="G110" t="s">
        <v>32</v>
      </c>
      <c r="H110" t="s">
        <v>33</v>
      </c>
      <c r="I110" t="s">
        <v>321</v>
      </c>
      <c r="J110" t="s">
        <v>86</v>
      </c>
      <c r="K110" s="15">
        <v>5</v>
      </c>
      <c r="L110">
        <v>390</v>
      </c>
      <c r="M110">
        <v>1950</v>
      </c>
      <c r="N110" t="s">
        <v>26</v>
      </c>
      <c r="O110">
        <v>2018</v>
      </c>
      <c r="P110" t="s">
        <v>36</v>
      </c>
      <c r="Q110" t="s">
        <v>28</v>
      </c>
      <c r="R110" t="s">
        <v>29</v>
      </c>
    </row>
    <row r="111" spans="1:18" x14ac:dyDescent="0.35">
      <c r="A111" t="s">
        <v>635</v>
      </c>
      <c r="B111" t="s">
        <v>116</v>
      </c>
      <c r="C111" s="11" t="s">
        <v>117</v>
      </c>
      <c r="D111" t="s">
        <v>21</v>
      </c>
      <c r="E111">
        <v>50.55</v>
      </c>
      <c r="F111">
        <v>22.7333</v>
      </c>
      <c r="G111" t="s">
        <v>32</v>
      </c>
      <c r="H111" t="s">
        <v>39</v>
      </c>
      <c r="I111" t="s">
        <v>197</v>
      </c>
      <c r="J111" t="s">
        <v>25</v>
      </c>
      <c r="K111" s="15">
        <v>8</v>
      </c>
      <c r="L111">
        <v>391</v>
      </c>
      <c r="M111">
        <v>3128</v>
      </c>
      <c r="N111" t="s">
        <v>26</v>
      </c>
      <c r="O111">
        <v>2018</v>
      </c>
      <c r="P111" t="s">
        <v>41</v>
      </c>
      <c r="Q111" t="s">
        <v>42</v>
      </c>
      <c r="R111" t="s">
        <v>43</v>
      </c>
    </row>
    <row r="112" spans="1:18" x14ac:dyDescent="0.35">
      <c r="A112" t="s">
        <v>635</v>
      </c>
      <c r="B112" t="s">
        <v>322</v>
      </c>
      <c r="C112" s="11" t="s">
        <v>323</v>
      </c>
      <c r="D112" t="s">
        <v>21</v>
      </c>
      <c r="E112">
        <v>54.416699999999999</v>
      </c>
      <c r="F112">
        <v>16.416699999999999</v>
      </c>
      <c r="G112" t="s">
        <v>22</v>
      </c>
      <c r="H112" t="s">
        <v>23</v>
      </c>
      <c r="I112" t="s">
        <v>324</v>
      </c>
      <c r="J112" t="s">
        <v>95</v>
      </c>
      <c r="K112" s="15">
        <v>6</v>
      </c>
      <c r="L112">
        <v>782</v>
      </c>
      <c r="M112">
        <v>4692</v>
      </c>
      <c r="N112" t="s">
        <v>26</v>
      </c>
      <c r="O112">
        <v>2018</v>
      </c>
      <c r="P112" t="s">
        <v>105</v>
      </c>
      <c r="Q112" t="s">
        <v>71</v>
      </c>
      <c r="R112" t="s">
        <v>72</v>
      </c>
    </row>
    <row r="113" spans="1:18" x14ac:dyDescent="0.35">
      <c r="A113" t="s">
        <v>635</v>
      </c>
      <c r="B113" t="s">
        <v>325</v>
      </c>
      <c r="C113" s="11" t="s">
        <v>326</v>
      </c>
      <c r="D113" t="s">
        <v>21</v>
      </c>
      <c r="E113">
        <v>51.107700000000001</v>
      </c>
      <c r="F113">
        <v>17.035299999999999</v>
      </c>
      <c r="G113" t="s">
        <v>22</v>
      </c>
      <c r="H113" t="s">
        <v>23</v>
      </c>
      <c r="I113" t="s">
        <v>327</v>
      </c>
      <c r="J113" t="s">
        <v>95</v>
      </c>
      <c r="K113" s="15">
        <v>6</v>
      </c>
      <c r="L113">
        <v>492</v>
      </c>
      <c r="M113">
        <v>2952</v>
      </c>
      <c r="N113" t="s">
        <v>26</v>
      </c>
      <c r="O113">
        <v>2018</v>
      </c>
      <c r="P113" t="s">
        <v>70</v>
      </c>
      <c r="Q113" t="s">
        <v>71</v>
      </c>
      <c r="R113" t="s">
        <v>72</v>
      </c>
    </row>
    <row r="114" spans="1:18" x14ac:dyDescent="0.35">
      <c r="A114" t="s">
        <v>635</v>
      </c>
      <c r="B114" t="s">
        <v>659</v>
      </c>
      <c r="C114" s="11" t="s">
        <v>329</v>
      </c>
      <c r="D114" t="s">
        <v>21</v>
      </c>
      <c r="E114">
        <v>51</v>
      </c>
      <c r="F114">
        <v>16.333300000000001</v>
      </c>
      <c r="G114" t="s">
        <v>32</v>
      </c>
      <c r="H114" t="s">
        <v>39</v>
      </c>
      <c r="I114" t="s">
        <v>330</v>
      </c>
      <c r="J114" t="s">
        <v>25</v>
      </c>
      <c r="K114" s="15">
        <v>3</v>
      </c>
      <c r="L114">
        <v>520</v>
      </c>
      <c r="M114">
        <v>1560</v>
      </c>
      <c r="N114" t="s">
        <v>26</v>
      </c>
      <c r="O114">
        <v>2018</v>
      </c>
      <c r="P114" t="s">
        <v>87</v>
      </c>
      <c r="Q114" t="s">
        <v>42</v>
      </c>
      <c r="R114" t="s">
        <v>43</v>
      </c>
    </row>
    <row r="115" spans="1:18" x14ac:dyDescent="0.35">
      <c r="A115" t="s">
        <v>635</v>
      </c>
      <c r="B115" t="s">
        <v>331</v>
      </c>
      <c r="C115" s="11" t="s">
        <v>332</v>
      </c>
      <c r="D115" t="s">
        <v>21</v>
      </c>
      <c r="E115">
        <v>52.7667</v>
      </c>
      <c r="F115">
        <v>23.2</v>
      </c>
      <c r="G115" t="s">
        <v>22</v>
      </c>
      <c r="H115" t="s">
        <v>79</v>
      </c>
      <c r="I115" t="s">
        <v>333</v>
      </c>
      <c r="J115" t="s">
        <v>25</v>
      </c>
      <c r="K115" s="15">
        <v>6</v>
      </c>
      <c r="L115">
        <v>767</v>
      </c>
      <c r="M115">
        <v>0</v>
      </c>
      <c r="N115" t="s">
        <v>26</v>
      </c>
      <c r="O115">
        <v>2018</v>
      </c>
      <c r="P115" t="s">
        <v>52</v>
      </c>
      <c r="Q115" t="s">
        <v>28</v>
      </c>
      <c r="R115" t="s">
        <v>29</v>
      </c>
    </row>
    <row r="116" spans="1:18" x14ac:dyDescent="0.35">
      <c r="A116" t="s">
        <v>635</v>
      </c>
      <c r="B116" t="s">
        <v>334</v>
      </c>
      <c r="C116" s="11" t="s">
        <v>335</v>
      </c>
      <c r="D116" t="s">
        <v>21</v>
      </c>
      <c r="E116">
        <v>54.166699999999999</v>
      </c>
      <c r="F116">
        <v>17.5</v>
      </c>
      <c r="G116" t="s">
        <v>22</v>
      </c>
      <c r="H116" t="s">
        <v>23</v>
      </c>
      <c r="I116" t="s">
        <v>336</v>
      </c>
      <c r="J116" t="s">
        <v>35</v>
      </c>
      <c r="K116" s="15">
        <v>6</v>
      </c>
      <c r="L116">
        <v>452</v>
      </c>
      <c r="M116">
        <v>2712</v>
      </c>
      <c r="N116" t="s">
        <v>646</v>
      </c>
      <c r="O116">
        <v>2018</v>
      </c>
      <c r="P116" t="s">
        <v>105</v>
      </c>
      <c r="Q116" t="s">
        <v>71</v>
      </c>
      <c r="R116" t="s">
        <v>72</v>
      </c>
    </row>
    <row r="117" spans="1:18" x14ac:dyDescent="0.35">
      <c r="A117" t="s">
        <v>635</v>
      </c>
      <c r="B117" t="s">
        <v>337</v>
      </c>
      <c r="C117" s="11" t="s">
        <v>338</v>
      </c>
      <c r="D117" t="s">
        <v>21</v>
      </c>
      <c r="E117">
        <v>51.152799999999999</v>
      </c>
      <c r="F117">
        <v>15</v>
      </c>
      <c r="G117" t="s">
        <v>32</v>
      </c>
      <c r="H117" t="s">
        <v>39</v>
      </c>
      <c r="I117" t="s">
        <v>200</v>
      </c>
      <c r="J117" t="s">
        <v>134</v>
      </c>
      <c r="K117" s="15">
        <v>12</v>
      </c>
      <c r="L117">
        <v>75</v>
      </c>
      <c r="M117">
        <v>900</v>
      </c>
      <c r="N117" t="s">
        <v>646</v>
      </c>
      <c r="O117">
        <v>2018</v>
      </c>
      <c r="P117" t="s">
        <v>63</v>
      </c>
      <c r="Q117" t="s">
        <v>28</v>
      </c>
      <c r="R117" t="s">
        <v>29</v>
      </c>
    </row>
    <row r="118" spans="1:18" x14ac:dyDescent="0.35">
      <c r="A118" t="s">
        <v>635</v>
      </c>
      <c r="B118" t="s">
        <v>272</v>
      </c>
      <c r="C118" s="11" t="s">
        <v>273</v>
      </c>
      <c r="D118" t="s">
        <v>21</v>
      </c>
      <c r="E118">
        <v>51.4</v>
      </c>
      <c r="F118">
        <v>19.683299999999999</v>
      </c>
      <c r="G118" t="s">
        <v>22</v>
      </c>
      <c r="H118" t="s">
        <v>23</v>
      </c>
      <c r="I118" t="s">
        <v>339</v>
      </c>
      <c r="J118" t="s">
        <v>47</v>
      </c>
      <c r="K118" s="15">
        <v>5</v>
      </c>
      <c r="L118">
        <v>613</v>
      </c>
      <c r="M118">
        <v>3065</v>
      </c>
      <c r="N118" t="s">
        <v>26</v>
      </c>
      <c r="O118">
        <v>2018</v>
      </c>
      <c r="P118" t="s">
        <v>41</v>
      </c>
      <c r="Q118" t="s">
        <v>42</v>
      </c>
      <c r="R118" t="s">
        <v>43</v>
      </c>
    </row>
    <row r="119" spans="1:18" x14ac:dyDescent="0.35">
      <c r="A119" t="s">
        <v>635</v>
      </c>
      <c r="B119" t="s">
        <v>340</v>
      </c>
      <c r="C119" s="11" t="s">
        <v>341</v>
      </c>
      <c r="D119" t="s">
        <v>21</v>
      </c>
      <c r="E119">
        <v>51.030799999999999</v>
      </c>
      <c r="F119">
        <v>15.420199999999999</v>
      </c>
      <c r="G119" t="s">
        <v>22</v>
      </c>
      <c r="H119" t="s">
        <v>23</v>
      </c>
      <c r="I119" t="s">
        <v>342</v>
      </c>
      <c r="J119" t="s">
        <v>25</v>
      </c>
      <c r="K119" s="15">
        <v>20</v>
      </c>
      <c r="L119">
        <v>311</v>
      </c>
      <c r="M119">
        <v>6220</v>
      </c>
      <c r="N119" t="s">
        <v>660</v>
      </c>
      <c r="O119">
        <v>2018</v>
      </c>
      <c r="P119" t="s">
        <v>82</v>
      </c>
      <c r="Q119" t="s">
        <v>58</v>
      </c>
      <c r="R119" t="s">
        <v>59</v>
      </c>
    </row>
    <row r="120" spans="1:18" x14ac:dyDescent="0.35">
      <c r="A120" t="s">
        <v>635</v>
      </c>
      <c r="B120" t="s">
        <v>160</v>
      </c>
      <c r="C120" s="11" t="s">
        <v>161</v>
      </c>
      <c r="D120" t="s">
        <v>21</v>
      </c>
      <c r="E120">
        <v>53.2667</v>
      </c>
      <c r="F120">
        <v>16.466699999999999</v>
      </c>
      <c r="G120" t="s">
        <v>22</v>
      </c>
      <c r="H120" t="s">
        <v>79</v>
      </c>
      <c r="I120" t="s">
        <v>344</v>
      </c>
      <c r="J120" t="s">
        <v>35</v>
      </c>
      <c r="K120" s="15">
        <v>5</v>
      </c>
      <c r="L120">
        <v>611</v>
      </c>
      <c r="M120">
        <v>3055</v>
      </c>
      <c r="N120" t="s">
        <v>26</v>
      </c>
      <c r="O120">
        <v>2018</v>
      </c>
      <c r="P120" t="s">
        <v>87</v>
      </c>
      <c r="Q120" t="s">
        <v>42</v>
      </c>
      <c r="R120" t="s">
        <v>43</v>
      </c>
    </row>
    <row r="121" spans="1:18" x14ac:dyDescent="0.35">
      <c r="A121" t="s">
        <v>635</v>
      </c>
      <c r="B121" t="s">
        <v>195</v>
      </c>
      <c r="C121" s="11" t="s">
        <v>196</v>
      </c>
      <c r="D121" t="s">
        <v>21</v>
      </c>
      <c r="E121">
        <v>53.4925</v>
      </c>
      <c r="F121">
        <v>18.7761</v>
      </c>
      <c r="G121" t="s">
        <v>32</v>
      </c>
      <c r="H121" t="s">
        <v>33</v>
      </c>
      <c r="I121" t="s">
        <v>345</v>
      </c>
      <c r="J121" t="s">
        <v>35</v>
      </c>
      <c r="K121" s="15">
        <v>13</v>
      </c>
      <c r="L121">
        <v>773</v>
      </c>
      <c r="M121">
        <v>10049</v>
      </c>
      <c r="N121" t="s">
        <v>26</v>
      </c>
      <c r="O121">
        <v>2018</v>
      </c>
      <c r="P121" t="s">
        <v>41</v>
      </c>
      <c r="Q121" t="s">
        <v>42</v>
      </c>
      <c r="R121" t="s">
        <v>43</v>
      </c>
    </row>
    <row r="122" spans="1:18" x14ac:dyDescent="0.35">
      <c r="A122" t="s">
        <v>635</v>
      </c>
      <c r="B122" t="s">
        <v>653</v>
      </c>
      <c r="C122" s="11" t="s">
        <v>281</v>
      </c>
      <c r="D122" t="s">
        <v>21</v>
      </c>
      <c r="E122">
        <v>52.253100000000003</v>
      </c>
      <c r="F122">
        <v>15.9178</v>
      </c>
      <c r="G122" t="s">
        <v>22</v>
      </c>
      <c r="H122" t="s">
        <v>23</v>
      </c>
      <c r="I122" t="s">
        <v>66</v>
      </c>
      <c r="J122" t="s">
        <v>25</v>
      </c>
      <c r="K122" s="15">
        <v>20</v>
      </c>
      <c r="L122">
        <v>742</v>
      </c>
      <c r="M122">
        <v>14840</v>
      </c>
      <c r="N122" t="s">
        <v>26</v>
      </c>
      <c r="O122">
        <v>2018</v>
      </c>
      <c r="P122" t="s">
        <v>41</v>
      </c>
      <c r="Q122" t="s">
        <v>42</v>
      </c>
      <c r="R122" t="s">
        <v>43</v>
      </c>
    </row>
    <row r="123" spans="1:18" x14ac:dyDescent="0.35">
      <c r="A123" t="s">
        <v>635</v>
      </c>
      <c r="B123" t="s">
        <v>275</v>
      </c>
      <c r="C123" s="11" t="s">
        <v>276</v>
      </c>
      <c r="D123" t="s">
        <v>21</v>
      </c>
      <c r="E123">
        <v>50.672199999999997</v>
      </c>
      <c r="F123">
        <v>17.9253</v>
      </c>
      <c r="G123" t="s">
        <v>32</v>
      </c>
      <c r="H123" t="s">
        <v>33</v>
      </c>
      <c r="I123" t="s">
        <v>151</v>
      </c>
      <c r="J123" t="s">
        <v>134</v>
      </c>
      <c r="K123" s="15">
        <v>7</v>
      </c>
      <c r="L123">
        <v>164</v>
      </c>
      <c r="N123" t="s">
        <v>26</v>
      </c>
      <c r="O123">
        <v>2018</v>
      </c>
      <c r="P123" t="s">
        <v>76</v>
      </c>
      <c r="Q123" t="s">
        <v>42</v>
      </c>
      <c r="R123" t="s">
        <v>43</v>
      </c>
    </row>
    <row r="124" spans="1:18" x14ac:dyDescent="0.35">
      <c r="A124" t="s">
        <v>635</v>
      </c>
      <c r="B124" t="s">
        <v>337</v>
      </c>
      <c r="C124" s="11" t="s">
        <v>338</v>
      </c>
      <c r="D124" t="s">
        <v>21</v>
      </c>
      <c r="E124">
        <v>51.152799999999999</v>
      </c>
      <c r="F124">
        <v>15</v>
      </c>
      <c r="G124" t="s">
        <v>32</v>
      </c>
      <c r="H124" t="s">
        <v>39</v>
      </c>
      <c r="I124" t="s">
        <v>101</v>
      </c>
      <c r="J124" t="s">
        <v>47</v>
      </c>
      <c r="K124" s="15">
        <v>5</v>
      </c>
      <c r="L124">
        <v>605</v>
      </c>
      <c r="M124">
        <v>3025</v>
      </c>
      <c r="N124" t="s">
        <v>660</v>
      </c>
      <c r="O124">
        <v>2018</v>
      </c>
      <c r="P124" t="s">
        <v>119</v>
      </c>
      <c r="Q124" t="s">
        <v>71</v>
      </c>
      <c r="R124" t="s">
        <v>72</v>
      </c>
    </row>
    <row r="125" spans="1:18" x14ac:dyDescent="0.35">
      <c r="A125" t="s">
        <v>635</v>
      </c>
      <c r="B125" t="s">
        <v>636</v>
      </c>
      <c r="C125" s="11" t="s">
        <v>20</v>
      </c>
      <c r="D125" t="s">
        <v>21</v>
      </c>
      <c r="E125">
        <v>51.2333</v>
      </c>
      <c r="F125">
        <v>22.566700000000001</v>
      </c>
      <c r="G125" t="s">
        <v>22</v>
      </c>
      <c r="H125" t="s">
        <v>23</v>
      </c>
      <c r="I125" t="s">
        <v>236</v>
      </c>
      <c r="J125" t="s">
        <v>86</v>
      </c>
      <c r="K125" s="15">
        <v>30</v>
      </c>
      <c r="L125">
        <v>26</v>
      </c>
      <c r="M125">
        <v>780</v>
      </c>
      <c r="N125" t="s">
        <v>26</v>
      </c>
      <c r="O125">
        <v>2018</v>
      </c>
      <c r="P125" t="s">
        <v>82</v>
      </c>
      <c r="Q125" t="s">
        <v>58</v>
      </c>
      <c r="R125" t="s">
        <v>59</v>
      </c>
    </row>
    <row r="126" spans="1:18" x14ac:dyDescent="0.35">
      <c r="A126" t="s">
        <v>635</v>
      </c>
      <c r="B126" t="s">
        <v>163</v>
      </c>
      <c r="C126" s="11" t="s">
        <v>164</v>
      </c>
      <c r="D126" t="s">
        <v>21</v>
      </c>
      <c r="E126">
        <v>49.882100000000001</v>
      </c>
      <c r="F126">
        <v>19.223299999999998</v>
      </c>
      <c r="G126" t="s">
        <v>32</v>
      </c>
      <c r="H126" t="s">
        <v>39</v>
      </c>
      <c r="I126" t="s">
        <v>346</v>
      </c>
      <c r="J126" t="s">
        <v>47</v>
      </c>
      <c r="K126" s="15">
        <v>56</v>
      </c>
      <c r="L126">
        <v>529</v>
      </c>
      <c r="M126">
        <v>29624</v>
      </c>
      <c r="N126" t="s">
        <v>185</v>
      </c>
      <c r="O126">
        <v>2018</v>
      </c>
      <c r="P126" t="s">
        <v>63</v>
      </c>
      <c r="Q126" t="s">
        <v>28</v>
      </c>
      <c r="R126" t="s">
        <v>29</v>
      </c>
    </row>
    <row r="127" spans="1:18" x14ac:dyDescent="0.35">
      <c r="A127" t="s">
        <v>635</v>
      </c>
      <c r="B127" t="s">
        <v>347</v>
      </c>
      <c r="C127" s="11" t="s">
        <v>348</v>
      </c>
      <c r="D127" t="s">
        <v>652</v>
      </c>
      <c r="E127">
        <v>52.65</v>
      </c>
      <c r="F127">
        <v>19.05</v>
      </c>
      <c r="G127" t="s">
        <v>22</v>
      </c>
      <c r="H127" t="s">
        <v>23</v>
      </c>
      <c r="I127" t="s">
        <v>349</v>
      </c>
      <c r="J127" t="s">
        <v>35</v>
      </c>
      <c r="K127" s="15">
        <v>1</v>
      </c>
      <c r="L127">
        <v>401</v>
      </c>
      <c r="M127">
        <v>401</v>
      </c>
      <c r="N127" t="s">
        <v>26</v>
      </c>
      <c r="O127">
        <v>2018</v>
      </c>
      <c r="P127" t="s">
        <v>70</v>
      </c>
      <c r="Q127" t="s">
        <v>71</v>
      </c>
      <c r="R127" t="s">
        <v>72</v>
      </c>
    </row>
    <row r="128" spans="1:18" x14ac:dyDescent="0.35">
      <c r="A128" t="s">
        <v>635</v>
      </c>
      <c r="B128" t="s">
        <v>146</v>
      </c>
      <c r="C128" s="11" t="s">
        <v>147</v>
      </c>
      <c r="D128" t="s">
        <v>21</v>
      </c>
      <c r="E128">
        <v>50.475099999999998</v>
      </c>
      <c r="F128">
        <v>17.965399999999999</v>
      </c>
      <c r="G128" t="s">
        <v>32</v>
      </c>
      <c r="H128" t="s">
        <v>39</v>
      </c>
      <c r="I128" t="s">
        <v>125</v>
      </c>
      <c r="J128" t="s">
        <v>35</v>
      </c>
      <c r="K128" s="15">
        <v>2</v>
      </c>
      <c r="L128">
        <v>215</v>
      </c>
      <c r="M128">
        <v>430</v>
      </c>
      <c r="N128" t="s">
        <v>661</v>
      </c>
      <c r="O128">
        <v>2018</v>
      </c>
      <c r="P128" t="s">
        <v>76</v>
      </c>
      <c r="Q128" t="s">
        <v>42</v>
      </c>
      <c r="R128" t="s">
        <v>43</v>
      </c>
    </row>
    <row r="129" spans="1:18" x14ac:dyDescent="0.35">
      <c r="A129" t="s">
        <v>635</v>
      </c>
      <c r="B129" t="s">
        <v>351</v>
      </c>
      <c r="C129" s="11" t="s">
        <v>352</v>
      </c>
      <c r="D129" t="s">
        <v>21</v>
      </c>
      <c r="E129">
        <v>51.3</v>
      </c>
      <c r="F129">
        <v>22.883299999999998</v>
      </c>
      <c r="G129" t="s">
        <v>32</v>
      </c>
      <c r="H129" t="s">
        <v>39</v>
      </c>
      <c r="I129" t="s">
        <v>111</v>
      </c>
      <c r="J129" t="s">
        <v>47</v>
      </c>
      <c r="K129" s="15">
        <v>5</v>
      </c>
      <c r="L129">
        <v>414</v>
      </c>
      <c r="M129">
        <v>2070</v>
      </c>
      <c r="N129" t="s">
        <v>26</v>
      </c>
      <c r="O129">
        <v>2018</v>
      </c>
      <c r="P129" t="s">
        <v>70</v>
      </c>
      <c r="Q129" t="s">
        <v>71</v>
      </c>
      <c r="R129" t="s">
        <v>72</v>
      </c>
    </row>
    <row r="130" spans="1:18" x14ac:dyDescent="0.35">
      <c r="A130" t="s">
        <v>635</v>
      </c>
      <c r="B130" t="s">
        <v>662</v>
      </c>
      <c r="C130" s="11" t="s">
        <v>354</v>
      </c>
      <c r="D130" t="s">
        <v>21</v>
      </c>
      <c r="E130">
        <v>50.033900000000003</v>
      </c>
      <c r="F130">
        <v>20.217199999999998</v>
      </c>
      <c r="G130" t="s">
        <v>22</v>
      </c>
      <c r="H130" t="s">
        <v>23</v>
      </c>
      <c r="I130" t="s">
        <v>355</v>
      </c>
      <c r="J130" t="s">
        <v>47</v>
      </c>
      <c r="K130" s="15">
        <v>1</v>
      </c>
      <c r="L130">
        <v>173</v>
      </c>
      <c r="M130">
        <v>0</v>
      </c>
      <c r="N130" t="s">
        <v>660</v>
      </c>
      <c r="O130">
        <v>2018</v>
      </c>
      <c r="P130" t="s">
        <v>115</v>
      </c>
      <c r="Q130" t="s">
        <v>58</v>
      </c>
      <c r="R130" t="s">
        <v>59</v>
      </c>
    </row>
    <row r="131" spans="1:18" x14ac:dyDescent="0.35">
      <c r="A131" t="s">
        <v>635</v>
      </c>
      <c r="B131" t="s">
        <v>356</v>
      </c>
      <c r="C131" s="11" t="s">
        <v>357</v>
      </c>
      <c r="D131" t="s">
        <v>652</v>
      </c>
      <c r="E131">
        <v>50.9833</v>
      </c>
      <c r="F131">
        <v>18.216699999999999</v>
      </c>
      <c r="G131" t="s">
        <v>22</v>
      </c>
      <c r="H131" t="s">
        <v>79</v>
      </c>
      <c r="I131" t="s">
        <v>66</v>
      </c>
      <c r="J131" t="s">
        <v>25</v>
      </c>
      <c r="K131" s="15">
        <v>30</v>
      </c>
      <c r="L131">
        <v>742</v>
      </c>
      <c r="M131">
        <v>22260</v>
      </c>
      <c r="N131" t="s">
        <v>26</v>
      </c>
      <c r="O131">
        <v>2018</v>
      </c>
      <c r="P131" t="s">
        <v>57</v>
      </c>
      <c r="Q131" t="s">
        <v>58</v>
      </c>
      <c r="R131" t="s">
        <v>59</v>
      </c>
    </row>
    <row r="132" spans="1:18" x14ac:dyDescent="0.35">
      <c r="A132" t="s">
        <v>635</v>
      </c>
      <c r="B132" t="s">
        <v>663</v>
      </c>
      <c r="C132" s="11" t="s">
        <v>359</v>
      </c>
      <c r="D132" t="s">
        <v>21</v>
      </c>
      <c r="E132">
        <v>51.05</v>
      </c>
      <c r="F132">
        <v>16.183299999999999</v>
      </c>
      <c r="G132" t="s">
        <v>22</v>
      </c>
      <c r="H132" t="s">
        <v>23</v>
      </c>
      <c r="I132" t="s">
        <v>122</v>
      </c>
      <c r="J132" t="s">
        <v>86</v>
      </c>
      <c r="K132" s="15">
        <v>1</v>
      </c>
      <c r="L132">
        <v>765</v>
      </c>
      <c r="M132">
        <v>765</v>
      </c>
      <c r="N132" t="s">
        <v>646</v>
      </c>
      <c r="O132">
        <v>2018</v>
      </c>
      <c r="P132" t="s">
        <v>27</v>
      </c>
      <c r="Q132" t="s">
        <v>28</v>
      </c>
      <c r="R132" t="s">
        <v>29</v>
      </c>
    </row>
    <row r="133" spans="1:18" x14ac:dyDescent="0.35">
      <c r="A133" t="s">
        <v>635</v>
      </c>
      <c r="B133" t="s">
        <v>664</v>
      </c>
      <c r="C133" s="11" t="s">
        <v>361</v>
      </c>
      <c r="D133" t="s">
        <v>21</v>
      </c>
      <c r="E133">
        <v>52.083300000000001</v>
      </c>
      <c r="F133">
        <v>16.649999999999999</v>
      </c>
      <c r="G133" t="s">
        <v>22</v>
      </c>
      <c r="H133" t="s">
        <v>23</v>
      </c>
      <c r="I133" t="s">
        <v>257</v>
      </c>
      <c r="J133" t="s">
        <v>95</v>
      </c>
      <c r="K133" s="15">
        <v>4</v>
      </c>
      <c r="L133">
        <v>628</v>
      </c>
      <c r="M133">
        <v>2512</v>
      </c>
      <c r="N133" t="s">
        <v>26</v>
      </c>
      <c r="O133">
        <v>2018</v>
      </c>
      <c r="P133" t="s">
        <v>76</v>
      </c>
      <c r="Q133" t="s">
        <v>42</v>
      </c>
      <c r="R133" t="s">
        <v>43</v>
      </c>
    </row>
    <row r="134" spans="1:18" x14ac:dyDescent="0.35">
      <c r="A134" t="s">
        <v>635</v>
      </c>
      <c r="B134" t="s">
        <v>665</v>
      </c>
      <c r="C134" s="11" t="s">
        <v>363</v>
      </c>
      <c r="D134" t="s">
        <v>21</v>
      </c>
      <c r="E134">
        <v>50.872500000000002</v>
      </c>
      <c r="F134">
        <v>20.631900000000002</v>
      </c>
      <c r="G134" t="s">
        <v>32</v>
      </c>
      <c r="H134" t="s">
        <v>39</v>
      </c>
      <c r="I134" t="s">
        <v>364</v>
      </c>
      <c r="J134" t="s">
        <v>134</v>
      </c>
      <c r="K134" s="15">
        <v>4</v>
      </c>
      <c r="L134">
        <v>248</v>
      </c>
      <c r="M134">
        <v>992</v>
      </c>
      <c r="N134" t="s">
        <v>26</v>
      </c>
      <c r="O134">
        <v>2018</v>
      </c>
      <c r="P134" t="s">
        <v>52</v>
      </c>
      <c r="Q134" t="s">
        <v>28</v>
      </c>
      <c r="R134" t="s">
        <v>29</v>
      </c>
    </row>
    <row r="135" spans="1:18" x14ac:dyDescent="0.35">
      <c r="A135" t="s">
        <v>635</v>
      </c>
      <c r="B135" t="s">
        <v>666</v>
      </c>
      <c r="C135" s="11" t="s">
        <v>366</v>
      </c>
      <c r="D135" t="s">
        <v>21</v>
      </c>
      <c r="E135">
        <v>49.5625</v>
      </c>
      <c r="F135">
        <v>20.636399999999998</v>
      </c>
      <c r="G135" t="s">
        <v>22</v>
      </c>
      <c r="H135" t="s">
        <v>23</v>
      </c>
      <c r="I135" t="s">
        <v>367</v>
      </c>
      <c r="J135" t="s">
        <v>134</v>
      </c>
      <c r="K135" s="15">
        <v>10</v>
      </c>
      <c r="L135">
        <v>187</v>
      </c>
      <c r="M135">
        <v>1870</v>
      </c>
      <c r="N135" t="s">
        <v>26</v>
      </c>
      <c r="O135">
        <v>2018</v>
      </c>
      <c r="P135" t="s">
        <v>36</v>
      </c>
      <c r="Q135" t="s">
        <v>28</v>
      </c>
      <c r="R135" t="s">
        <v>29</v>
      </c>
    </row>
    <row r="136" spans="1:18" x14ac:dyDescent="0.35">
      <c r="A136" t="s">
        <v>635</v>
      </c>
      <c r="B136" t="s">
        <v>266</v>
      </c>
      <c r="C136" s="11" t="s">
        <v>267</v>
      </c>
      <c r="D136" t="s">
        <v>21</v>
      </c>
      <c r="E136">
        <v>50.323900000000002</v>
      </c>
      <c r="F136">
        <v>19.194700000000001</v>
      </c>
      <c r="G136" t="s">
        <v>22</v>
      </c>
      <c r="H136" t="s">
        <v>79</v>
      </c>
      <c r="I136" t="s">
        <v>98</v>
      </c>
      <c r="J136" t="s">
        <v>95</v>
      </c>
      <c r="K136" s="15">
        <v>6</v>
      </c>
      <c r="L136">
        <v>487</v>
      </c>
      <c r="M136">
        <v>2922</v>
      </c>
      <c r="N136" t="s">
        <v>26</v>
      </c>
      <c r="O136">
        <v>2018</v>
      </c>
      <c r="P136" t="s">
        <v>52</v>
      </c>
      <c r="Q136" t="s">
        <v>28</v>
      </c>
      <c r="R136" t="s">
        <v>29</v>
      </c>
    </row>
    <row r="137" spans="1:18" x14ac:dyDescent="0.35">
      <c r="A137" t="s">
        <v>635</v>
      </c>
      <c r="B137" t="s">
        <v>300</v>
      </c>
      <c r="C137" s="11" t="s">
        <v>301</v>
      </c>
      <c r="D137" t="s">
        <v>21</v>
      </c>
      <c r="E137">
        <v>53.816699999999997</v>
      </c>
      <c r="F137">
        <v>22.35</v>
      </c>
      <c r="G137" t="s">
        <v>32</v>
      </c>
      <c r="H137" t="s">
        <v>33</v>
      </c>
      <c r="I137" t="s">
        <v>257</v>
      </c>
      <c r="J137" t="s">
        <v>95</v>
      </c>
      <c r="K137" s="15">
        <v>4</v>
      </c>
      <c r="L137">
        <v>628</v>
      </c>
      <c r="M137">
        <v>2512</v>
      </c>
      <c r="N137" t="s">
        <v>26</v>
      </c>
      <c r="O137">
        <v>2018</v>
      </c>
      <c r="P137" t="s">
        <v>70</v>
      </c>
      <c r="Q137" t="s">
        <v>71</v>
      </c>
      <c r="R137" t="s">
        <v>72</v>
      </c>
    </row>
    <row r="138" spans="1:18" x14ac:dyDescent="0.35">
      <c r="A138" t="s">
        <v>635</v>
      </c>
      <c r="B138" t="s">
        <v>325</v>
      </c>
      <c r="C138" s="11" t="s">
        <v>326</v>
      </c>
      <c r="D138" t="s">
        <v>21</v>
      </c>
      <c r="E138">
        <v>51.107700000000001</v>
      </c>
      <c r="F138">
        <v>17.035299999999999</v>
      </c>
      <c r="G138" t="s">
        <v>22</v>
      </c>
      <c r="H138" t="s">
        <v>23</v>
      </c>
      <c r="I138" t="s">
        <v>368</v>
      </c>
      <c r="J138" t="s">
        <v>86</v>
      </c>
      <c r="K138" s="15">
        <v>15</v>
      </c>
      <c r="L138">
        <v>647</v>
      </c>
      <c r="M138">
        <v>9705</v>
      </c>
      <c r="N138" t="s">
        <v>185</v>
      </c>
      <c r="O138">
        <v>2018</v>
      </c>
      <c r="P138" t="s">
        <v>57</v>
      </c>
      <c r="Q138" t="s">
        <v>58</v>
      </c>
      <c r="R138" t="s">
        <v>59</v>
      </c>
    </row>
    <row r="139" spans="1:18" x14ac:dyDescent="0.35">
      <c r="A139" t="s">
        <v>635</v>
      </c>
      <c r="B139" t="s">
        <v>667</v>
      </c>
      <c r="C139" s="11" t="s">
        <v>370</v>
      </c>
      <c r="D139" t="s">
        <v>21</v>
      </c>
      <c r="E139">
        <v>51.8</v>
      </c>
      <c r="F139">
        <v>15.716699999999999</v>
      </c>
      <c r="G139" t="s">
        <v>32</v>
      </c>
      <c r="H139" t="s">
        <v>39</v>
      </c>
      <c r="I139" t="s">
        <v>371</v>
      </c>
      <c r="J139" t="s">
        <v>86</v>
      </c>
      <c r="K139" s="15">
        <v>3</v>
      </c>
      <c r="L139">
        <v>681</v>
      </c>
      <c r="M139">
        <v>2043</v>
      </c>
      <c r="N139" t="s">
        <v>26</v>
      </c>
      <c r="O139">
        <v>2018</v>
      </c>
      <c r="P139" t="s">
        <v>57</v>
      </c>
      <c r="Q139" t="s">
        <v>58</v>
      </c>
      <c r="R139" t="s">
        <v>59</v>
      </c>
    </row>
    <row r="140" spans="1:18" x14ac:dyDescent="0.35">
      <c r="A140" t="s">
        <v>635</v>
      </c>
      <c r="B140" t="s">
        <v>372</v>
      </c>
      <c r="C140" s="11" t="s">
        <v>373</v>
      </c>
      <c r="D140" t="s">
        <v>21</v>
      </c>
      <c r="E140">
        <v>53.083300000000001</v>
      </c>
      <c r="F140">
        <v>21.566700000000001</v>
      </c>
      <c r="G140" t="s">
        <v>22</v>
      </c>
      <c r="H140" t="s">
        <v>23</v>
      </c>
      <c r="I140" t="s">
        <v>85</v>
      </c>
      <c r="J140" t="s">
        <v>86</v>
      </c>
      <c r="K140" s="15">
        <v>20</v>
      </c>
      <c r="L140">
        <v>249</v>
      </c>
      <c r="M140">
        <v>4980</v>
      </c>
      <c r="N140" t="s">
        <v>26</v>
      </c>
      <c r="O140">
        <v>2018</v>
      </c>
      <c r="P140" t="s">
        <v>87</v>
      </c>
      <c r="Q140" t="s">
        <v>42</v>
      </c>
      <c r="R140" t="s">
        <v>43</v>
      </c>
    </row>
    <row r="141" spans="1:18" x14ac:dyDescent="0.35">
      <c r="A141" t="s">
        <v>635</v>
      </c>
      <c r="B141" t="s">
        <v>654</v>
      </c>
      <c r="C141" s="11" t="s">
        <v>287</v>
      </c>
      <c r="D141" t="s">
        <v>21</v>
      </c>
      <c r="E141">
        <v>50.297600000000003</v>
      </c>
      <c r="F141">
        <v>18.676600000000001</v>
      </c>
      <c r="G141" t="s">
        <v>32</v>
      </c>
      <c r="H141" t="s">
        <v>33</v>
      </c>
      <c r="I141" t="s">
        <v>374</v>
      </c>
      <c r="J141" t="s">
        <v>86</v>
      </c>
      <c r="K141" s="15">
        <v>10</v>
      </c>
      <c r="L141">
        <v>535</v>
      </c>
      <c r="M141">
        <v>5350</v>
      </c>
      <c r="N141" t="s">
        <v>26</v>
      </c>
      <c r="O141">
        <v>2018</v>
      </c>
      <c r="P141" t="s">
        <v>82</v>
      </c>
      <c r="Q141" t="s">
        <v>58</v>
      </c>
      <c r="R141" t="s">
        <v>59</v>
      </c>
    </row>
    <row r="142" spans="1:18" x14ac:dyDescent="0.35">
      <c r="A142" t="s">
        <v>635</v>
      </c>
      <c r="B142" t="s">
        <v>659</v>
      </c>
      <c r="C142" s="11" t="s">
        <v>329</v>
      </c>
      <c r="D142" t="s">
        <v>21</v>
      </c>
      <c r="E142">
        <v>51</v>
      </c>
      <c r="F142">
        <v>16.333300000000001</v>
      </c>
      <c r="G142" t="s">
        <v>32</v>
      </c>
      <c r="H142" t="s">
        <v>39</v>
      </c>
      <c r="I142" t="s">
        <v>368</v>
      </c>
      <c r="J142" t="s">
        <v>86</v>
      </c>
      <c r="K142" s="15">
        <v>30</v>
      </c>
      <c r="L142">
        <v>647</v>
      </c>
      <c r="M142">
        <v>19410</v>
      </c>
      <c r="N142" t="s">
        <v>26</v>
      </c>
      <c r="O142">
        <v>2018</v>
      </c>
      <c r="P142" t="s">
        <v>115</v>
      </c>
      <c r="Q142" t="s">
        <v>58</v>
      </c>
      <c r="R142" t="s">
        <v>59</v>
      </c>
    </row>
    <row r="143" spans="1:18" x14ac:dyDescent="0.35">
      <c r="A143" t="s">
        <v>635</v>
      </c>
      <c r="B143" t="s">
        <v>375</v>
      </c>
      <c r="C143" s="11" t="s">
        <v>376</v>
      </c>
      <c r="D143" t="s">
        <v>21</v>
      </c>
      <c r="E143">
        <v>49.666699999999999</v>
      </c>
      <c r="F143">
        <v>18.866700000000002</v>
      </c>
      <c r="G143" t="s">
        <v>32</v>
      </c>
      <c r="H143" t="s">
        <v>39</v>
      </c>
      <c r="I143" t="s">
        <v>377</v>
      </c>
      <c r="J143" t="s">
        <v>95</v>
      </c>
      <c r="K143" s="15">
        <v>4</v>
      </c>
      <c r="L143">
        <v>141</v>
      </c>
      <c r="M143">
        <v>564</v>
      </c>
      <c r="N143" t="s">
        <v>26</v>
      </c>
      <c r="O143">
        <v>2018</v>
      </c>
      <c r="P143" t="s">
        <v>57</v>
      </c>
      <c r="Q143" t="s">
        <v>58</v>
      </c>
      <c r="R143" t="s">
        <v>59</v>
      </c>
    </row>
    <row r="144" spans="1:18" x14ac:dyDescent="0.35">
      <c r="A144" t="s">
        <v>635</v>
      </c>
      <c r="B144" t="s">
        <v>201</v>
      </c>
      <c r="C144" s="11" t="s">
        <v>202</v>
      </c>
      <c r="D144" t="s">
        <v>21</v>
      </c>
      <c r="E144">
        <v>53.65</v>
      </c>
      <c r="F144">
        <v>17.366700000000002</v>
      </c>
      <c r="G144" t="s">
        <v>32</v>
      </c>
      <c r="H144" t="s">
        <v>33</v>
      </c>
      <c r="I144" t="s">
        <v>137</v>
      </c>
      <c r="J144" t="s">
        <v>86</v>
      </c>
      <c r="K144" s="15">
        <v>10</v>
      </c>
      <c r="L144">
        <v>502</v>
      </c>
      <c r="M144">
        <v>5020</v>
      </c>
      <c r="N144" t="s">
        <v>26</v>
      </c>
      <c r="O144">
        <v>2018</v>
      </c>
      <c r="P144" t="s">
        <v>76</v>
      </c>
      <c r="Q144" t="s">
        <v>42</v>
      </c>
      <c r="R144" t="s">
        <v>43</v>
      </c>
    </row>
    <row r="145" spans="1:18" x14ac:dyDescent="0.35">
      <c r="A145" t="s">
        <v>635</v>
      </c>
      <c r="B145" t="s">
        <v>141</v>
      </c>
      <c r="C145" s="11" t="s">
        <v>142</v>
      </c>
      <c r="D145" t="s">
        <v>21</v>
      </c>
      <c r="E145">
        <v>51.2333</v>
      </c>
      <c r="F145">
        <v>22.7</v>
      </c>
      <c r="G145" t="s">
        <v>32</v>
      </c>
      <c r="H145" t="s">
        <v>39</v>
      </c>
      <c r="I145" t="s">
        <v>333</v>
      </c>
      <c r="J145" t="s">
        <v>25</v>
      </c>
      <c r="K145" s="15">
        <v>4</v>
      </c>
      <c r="L145">
        <v>767</v>
      </c>
      <c r="M145">
        <v>3068</v>
      </c>
      <c r="N145" t="s">
        <v>26</v>
      </c>
      <c r="O145">
        <v>2018</v>
      </c>
      <c r="P145" t="s">
        <v>105</v>
      </c>
      <c r="Q145" t="s">
        <v>71</v>
      </c>
      <c r="R145" t="s">
        <v>72</v>
      </c>
    </row>
    <row r="146" spans="1:18" x14ac:dyDescent="0.35">
      <c r="A146" t="s">
        <v>635</v>
      </c>
      <c r="B146" t="s">
        <v>37</v>
      </c>
      <c r="C146" s="11" t="s">
        <v>38</v>
      </c>
      <c r="D146" t="s">
        <v>21</v>
      </c>
      <c r="E146">
        <v>50.083300000000001</v>
      </c>
      <c r="F146">
        <v>18.5</v>
      </c>
      <c r="G146" t="s">
        <v>32</v>
      </c>
      <c r="H146" t="s">
        <v>39</v>
      </c>
      <c r="I146" t="s">
        <v>378</v>
      </c>
      <c r="J146" t="s">
        <v>25</v>
      </c>
      <c r="K146" s="15">
        <v>5</v>
      </c>
      <c r="L146">
        <v>513</v>
      </c>
      <c r="M146">
        <v>2565</v>
      </c>
      <c r="N146" t="s">
        <v>26</v>
      </c>
      <c r="O146">
        <v>2018</v>
      </c>
      <c r="P146" t="s">
        <v>115</v>
      </c>
      <c r="Q146" t="s">
        <v>58</v>
      </c>
      <c r="R146" t="s">
        <v>59</v>
      </c>
    </row>
    <row r="147" spans="1:18" x14ac:dyDescent="0.35">
      <c r="A147" t="s">
        <v>635</v>
      </c>
      <c r="B147" t="s">
        <v>379</v>
      </c>
      <c r="C147" s="11" t="s">
        <v>380</v>
      </c>
      <c r="D147" t="s">
        <v>21</v>
      </c>
      <c r="E147">
        <v>49.9833</v>
      </c>
      <c r="F147">
        <v>20.433299999999999</v>
      </c>
      <c r="G147" t="s">
        <v>32</v>
      </c>
      <c r="H147" t="s">
        <v>39</v>
      </c>
      <c r="I147" t="s">
        <v>336</v>
      </c>
      <c r="J147" t="s">
        <v>35</v>
      </c>
      <c r="K147" s="15">
        <v>3</v>
      </c>
      <c r="L147">
        <v>452</v>
      </c>
      <c r="M147">
        <v>1356</v>
      </c>
      <c r="N147" t="s">
        <v>26</v>
      </c>
      <c r="O147">
        <v>2018</v>
      </c>
      <c r="P147" t="s">
        <v>52</v>
      </c>
      <c r="Q147" t="s">
        <v>28</v>
      </c>
      <c r="R147" t="s">
        <v>29</v>
      </c>
    </row>
    <row r="148" spans="1:18" x14ac:dyDescent="0.35">
      <c r="A148" t="s">
        <v>635</v>
      </c>
      <c r="B148" t="s">
        <v>131</v>
      </c>
      <c r="C148" s="11" t="s">
        <v>132</v>
      </c>
      <c r="D148" t="s">
        <v>21</v>
      </c>
      <c r="E148">
        <v>51.776899999999998</v>
      </c>
      <c r="F148">
        <v>19.454699999999999</v>
      </c>
      <c r="G148" t="s">
        <v>32</v>
      </c>
      <c r="H148" t="s">
        <v>33</v>
      </c>
      <c r="I148" t="s">
        <v>381</v>
      </c>
      <c r="J148" t="s">
        <v>25</v>
      </c>
      <c r="K148" s="15">
        <v>4</v>
      </c>
      <c r="L148">
        <v>361</v>
      </c>
      <c r="M148">
        <v>1444</v>
      </c>
      <c r="N148" t="s">
        <v>26</v>
      </c>
      <c r="O148">
        <v>2018</v>
      </c>
      <c r="P148" t="s">
        <v>87</v>
      </c>
      <c r="Q148" t="s">
        <v>42</v>
      </c>
      <c r="R148" t="s">
        <v>43</v>
      </c>
    </row>
    <row r="149" spans="1:18" x14ac:dyDescent="0.35">
      <c r="A149" t="s">
        <v>635</v>
      </c>
      <c r="B149" t="s">
        <v>266</v>
      </c>
      <c r="C149" s="11" t="s">
        <v>267</v>
      </c>
      <c r="D149" t="s">
        <v>21</v>
      </c>
      <c r="E149">
        <v>50.323900000000002</v>
      </c>
      <c r="F149">
        <v>19.194700000000001</v>
      </c>
      <c r="G149" t="s">
        <v>22</v>
      </c>
      <c r="H149" t="s">
        <v>79</v>
      </c>
      <c r="I149" t="s">
        <v>274</v>
      </c>
      <c r="J149" t="s">
        <v>95</v>
      </c>
      <c r="K149" s="15">
        <v>24</v>
      </c>
      <c r="L149">
        <v>610</v>
      </c>
      <c r="M149">
        <v>14640</v>
      </c>
      <c r="N149" t="s">
        <v>668</v>
      </c>
      <c r="O149">
        <v>2018</v>
      </c>
      <c r="P149" t="s">
        <v>57</v>
      </c>
      <c r="Q149" t="s">
        <v>58</v>
      </c>
      <c r="R149" t="s">
        <v>59</v>
      </c>
    </row>
    <row r="150" spans="1:18" x14ac:dyDescent="0.35">
      <c r="A150" t="s">
        <v>635</v>
      </c>
      <c r="B150" t="s">
        <v>379</v>
      </c>
      <c r="C150" s="11" t="s">
        <v>380</v>
      </c>
      <c r="D150" t="s">
        <v>21</v>
      </c>
      <c r="E150">
        <v>49.9833</v>
      </c>
      <c r="F150">
        <v>20.433299999999999</v>
      </c>
      <c r="G150" t="s">
        <v>32</v>
      </c>
      <c r="H150" t="s">
        <v>39</v>
      </c>
      <c r="I150" t="s">
        <v>383</v>
      </c>
      <c r="J150" t="s">
        <v>25</v>
      </c>
      <c r="K150" s="15">
        <v>4</v>
      </c>
      <c r="L150">
        <v>334</v>
      </c>
      <c r="M150">
        <v>1336</v>
      </c>
      <c r="N150" t="s">
        <v>26</v>
      </c>
      <c r="O150">
        <v>2018</v>
      </c>
      <c r="P150" t="s">
        <v>41</v>
      </c>
      <c r="Q150" t="s">
        <v>42</v>
      </c>
      <c r="R150" t="s">
        <v>43</v>
      </c>
    </row>
    <row r="151" spans="1:18" x14ac:dyDescent="0.35">
      <c r="A151" t="s">
        <v>635</v>
      </c>
      <c r="B151" t="s">
        <v>636</v>
      </c>
      <c r="C151" s="11" t="s">
        <v>20</v>
      </c>
      <c r="D151" t="s">
        <v>21</v>
      </c>
      <c r="E151">
        <v>51.2333</v>
      </c>
      <c r="F151">
        <v>22.566700000000001</v>
      </c>
      <c r="G151" t="s">
        <v>22</v>
      </c>
      <c r="H151" t="s">
        <v>23</v>
      </c>
      <c r="I151" t="s">
        <v>342</v>
      </c>
      <c r="J151" t="s">
        <v>25</v>
      </c>
      <c r="K151" s="15">
        <v>3</v>
      </c>
      <c r="L151">
        <v>311</v>
      </c>
      <c r="M151">
        <v>933</v>
      </c>
      <c r="N151" t="s">
        <v>26</v>
      </c>
      <c r="O151">
        <v>2018</v>
      </c>
      <c r="P151" t="s">
        <v>105</v>
      </c>
      <c r="Q151" t="s">
        <v>71</v>
      </c>
      <c r="R151" t="s">
        <v>72</v>
      </c>
    </row>
    <row r="152" spans="1:18" x14ac:dyDescent="0.35">
      <c r="A152" t="s">
        <v>635</v>
      </c>
      <c r="B152" t="s">
        <v>160</v>
      </c>
      <c r="C152" s="11" t="s">
        <v>161</v>
      </c>
      <c r="D152" t="s">
        <v>21</v>
      </c>
      <c r="E152">
        <v>53.2667</v>
      </c>
      <c r="F152">
        <v>16.466699999999999</v>
      </c>
      <c r="G152" t="s">
        <v>22</v>
      </c>
      <c r="H152" t="s">
        <v>79</v>
      </c>
      <c r="I152" t="s">
        <v>384</v>
      </c>
      <c r="J152" t="s">
        <v>47</v>
      </c>
      <c r="K152" s="15">
        <v>6</v>
      </c>
      <c r="L152">
        <v>631</v>
      </c>
      <c r="M152">
        <v>3786</v>
      </c>
      <c r="N152" t="s">
        <v>26</v>
      </c>
      <c r="O152">
        <v>2018</v>
      </c>
      <c r="P152" t="s">
        <v>82</v>
      </c>
      <c r="Q152" t="s">
        <v>58</v>
      </c>
      <c r="R152" t="s">
        <v>59</v>
      </c>
    </row>
    <row r="153" spans="1:18" x14ac:dyDescent="0.35">
      <c r="A153" t="s">
        <v>635</v>
      </c>
      <c r="B153" t="s">
        <v>229</v>
      </c>
      <c r="C153" s="11" t="s">
        <v>230</v>
      </c>
      <c r="D153" t="s">
        <v>21</v>
      </c>
      <c r="E153">
        <v>54.441899999999997</v>
      </c>
      <c r="F153">
        <v>18.547799999999999</v>
      </c>
      <c r="G153" t="s">
        <v>22</v>
      </c>
      <c r="H153" t="s">
        <v>23</v>
      </c>
      <c r="I153" t="s">
        <v>339</v>
      </c>
      <c r="J153" t="s">
        <v>47</v>
      </c>
      <c r="K153" s="15">
        <v>6</v>
      </c>
      <c r="L153">
        <v>613</v>
      </c>
      <c r="M153">
        <v>3678</v>
      </c>
      <c r="N153" t="s">
        <v>26</v>
      </c>
      <c r="O153">
        <v>2018</v>
      </c>
      <c r="P153" t="s">
        <v>119</v>
      </c>
      <c r="Q153" t="s">
        <v>71</v>
      </c>
      <c r="R153" t="s">
        <v>72</v>
      </c>
    </row>
    <row r="154" spans="1:18" x14ac:dyDescent="0.35">
      <c r="A154" t="s">
        <v>635</v>
      </c>
      <c r="B154" t="s">
        <v>669</v>
      </c>
      <c r="C154" s="11" t="s">
        <v>386</v>
      </c>
      <c r="D154" t="s">
        <v>21</v>
      </c>
      <c r="E154">
        <v>50.033299999999997</v>
      </c>
      <c r="F154">
        <v>19.2333</v>
      </c>
      <c r="G154" t="s">
        <v>22</v>
      </c>
      <c r="H154" t="s">
        <v>79</v>
      </c>
      <c r="I154" t="s">
        <v>299</v>
      </c>
      <c r="J154" t="s">
        <v>25</v>
      </c>
      <c r="K154" s="15">
        <v>10</v>
      </c>
      <c r="L154">
        <v>708</v>
      </c>
      <c r="M154">
        <v>7080</v>
      </c>
      <c r="N154" t="s">
        <v>26</v>
      </c>
      <c r="O154">
        <v>2018</v>
      </c>
      <c r="P154" t="s">
        <v>76</v>
      </c>
      <c r="Q154" t="s">
        <v>42</v>
      </c>
      <c r="R154" t="s">
        <v>43</v>
      </c>
    </row>
    <row r="155" spans="1:18" x14ac:dyDescent="0.35">
      <c r="A155" t="s">
        <v>635</v>
      </c>
      <c r="B155" t="s">
        <v>234</v>
      </c>
      <c r="C155" s="11" t="s">
        <v>235</v>
      </c>
      <c r="D155" t="s">
        <v>21</v>
      </c>
      <c r="E155">
        <v>50.473799999999997</v>
      </c>
      <c r="F155">
        <v>17.334399999999999</v>
      </c>
      <c r="G155" t="s">
        <v>32</v>
      </c>
      <c r="H155" t="s">
        <v>33</v>
      </c>
      <c r="I155" t="s">
        <v>231</v>
      </c>
      <c r="J155" t="s">
        <v>134</v>
      </c>
      <c r="K155" s="15">
        <v>6</v>
      </c>
      <c r="L155">
        <v>206</v>
      </c>
      <c r="M155">
        <v>1236</v>
      </c>
      <c r="N155" t="s">
        <v>91</v>
      </c>
      <c r="O155">
        <v>2018</v>
      </c>
      <c r="P155" t="s">
        <v>115</v>
      </c>
      <c r="Q155" t="s">
        <v>58</v>
      </c>
      <c r="R155" t="s">
        <v>59</v>
      </c>
    </row>
    <row r="156" spans="1:18" x14ac:dyDescent="0.35">
      <c r="A156" t="s">
        <v>635</v>
      </c>
      <c r="B156" t="s">
        <v>375</v>
      </c>
      <c r="C156" s="11" t="s">
        <v>376</v>
      </c>
      <c r="D156" t="s">
        <v>21</v>
      </c>
      <c r="E156">
        <v>49.666699999999999</v>
      </c>
      <c r="F156">
        <v>18.866700000000002</v>
      </c>
      <c r="G156" t="s">
        <v>32</v>
      </c>
      <c r="H156" t="s">
        <v>39</v>
      </c>
      <c r="I156" t="s">
        <v>387</v>
      </c>
      <c r="J156" t="s">
        <v>95</v>
      </c>
      <c r="K156" s="15">
        <v>3</v>
      </c>
      <c r="L156">
        <v>80</v>
      </c>
      <c r="M156">
        <v>240</v>
      </c>
      <c r="N156" t="s">
        <v>26</v>
      </c>
      <c r="O156">
        <v>2018</v>
      </c>
      <c r="P156" t="s">
        <v>70</v>
      </c>
      <c r="Q156" t="s">
        <v>71</v>
      </c>
      <c r="R156" t="s">
        <v>72</v>
      </c>
    </row>
    <row r="157" spans="1:18" x14ac:dyDescent="0.35">
      <c r="A157" t="s">
        <v>635</v>
      </c>
      <c r="B157" t="s">
        <v>388</v>
      </c>
      <c r="C157" s="11" t="s">
        <v>389</v>
      </c>
      <c r="D157" t="s">
        <v>21</v>
      </c>
      <c r="E157">
        <v>50.3</v>
      </c>
      <c r="F157">
        <v>19.166699999999999</v>
      </c>
      <c r="G157" t="s">
        <v>32</v>
      </c>
      <c r="H157" t="s">
        <v>33</v>
      </c>
      <c r="I157" t="s">
        <v>66</v>
      </c>
      <c r="J157" t="s">
        <v>25</v>
      </c>
      <c r="K157" s="15">
        <v>4</v>
      </c>
      <c r="L157">
        <v>742</v>
      </c>
      <c r="M157">
        <v>2968</v>
      </c>
      <c r="N157" t="s">
        <v>642</v>
      </c>
      <c r="O157">
        <v>2018</v>
      </c>
      <c r="P157" t="s">
        <v>119</v>
      </c>
      <c r="Q157" t="s">
        <v>71</v>
      </c>
      <c r="R157" t="s">
        <v>72</v>
      </c>
    </row>
    <row r="158" spans="1:18" x14ac:dyDescent="0.35">
      <c r="A158" t="s">
        <v>635</v>
      </c>
      <c r="B158" t="s">
        <v>390</v>
      </c>
      <c r="C158" s="11" t="s">
        <v>391</v>
      </c>
      <c r="D158" t="s">
        <v>21</v>
      </c>
      <c r="E158">
        <v>50.170999999999999</v>
      </c>
      <c r="F158">
        <v>18.9041</v>
      </c>
      <c r="G158" t="s">
        <v>22</v>
      </c>
      <c r="H158" t="s">
        <v>79</v>
      </c>
      <c r="I158" t="s">
        <v>392</v>
      </c>
      <c r="J158" t="s">
        <v>86</v>
      </c>
      <c r="K158" s="15">
        <v>10</v>
      </c>
      <c r="L158">
        <v>34</v>
      </c>
      <c r="M158">
        <v>340</v>
      </c>
      <c r="N158" t="s">
        <v>26</v>
      </c>
      <c r="O158">
        <v>2018</v>
      </c>
      <c r="P158" t="s">
        <v>57</v>
      </c>
      <c r="Q158" t="s">
        <v>58</v>
      </c>
      <c r="R158" t="s">
        <v>59</v>
      </c>
    </row>
    <row r="159" spans="1:18" x14ac:dyDescent="0.35">
      <c r="A159" t="s">
        <v>635</v>
      </c>
      <c r="B159" t="s">
        <v>48</v>
      </c>
      <c r="C159" s="11" t="s">
        <v>49</v>
      </c>
      <c r="D159" t="s">
        <v>21</v>
      </c>
      <c r="E159">
        <v>53.78</v>
      </c>
      <c r="F159">
        <v>20.494199999999999</v>
      </c>
      <c r="G159" t="s">
        <v>32</v>
      </c>
      <c r="H159" t="s">
        <v>33</v>
      </c>
      <c r="I159" t="s">
        <v>204</v>
      </c>
      <c r="J159" t="s">
        <v>25</v>
      </c>
      <c r="K159" s="15">
        <v>10</v>
      </c>
      <c r="L159">
        <v>99</v>
      </c>
      <c r="M159">
        <v>990</v>
      </c>
      <c r="N159" t="s">
        <v>26</v>
      </c>
      <c r="O159">
        <v>2018</v>
      </c>
      <c r="P159" t="s">
        <v>52</v>
      </c>
      <c r="Q159" t="s">
        <v>28</v>
      </c>
      <c r="R159" t="s">
        <v>29</v>
      </c>
    </row>
    <row r="160" spans="1:18" x14ac:dyDescent="0.35">
      <c r="A160" t="s">
        <v>635</v>
      </c>
      <c r="B160" t="s">
        <v>393</v>
      </c>
      <c r="C160" s="11" t="s">
        <v>394</v>
      </c>
      <c r="D160" t="s">
        <v>21</v>
      </c>
      <c r="E160">
        <v>50.059100000000001</v>
      </c>
      <c r="F160">
        <v>22.4941</v>
      </c>
      <c r="G160" t="s">
        <v>32</v>
      </c>
      <c r="H160" t="s">
        <v>39</v>
      </c>
      <c r="I160" t="s">
        <v>395</v>
      </c>
      <c r="J160" t="s">
        <v>35</v>
      </c>
      <c r="K160" s="15">
        <v>5</v>
      </c>
      <c r="L160">
        <v>400</v>
      </c>
      <c r="M160">
        <v>2000</v>
      </c>
      <c r="N160" t="s">
        <v>26</v>
      </c>
      <c r="O160">
        <v>2018</v>
      </c>
      <c r="P160" t="s">
        <v>87</v>
      </c>
      <c r="Q160" t="s">
        <v>42</v>
      </c>
      <c r="R160" t="s">
        <v>43</v>
      </c>
    </row>
    <row r="161" spans="1:18" x14ac:dyDescent="0.35">
      <c r="A161" t="s">
        <v>635</v>
      </c>
      <c r="B161" t="s">
        <v>396</v>
      </c>
      <c r="C161" s="11" t="s">
        <v>397</v>
      </c>
      <c r="D161" t="s">
        <v>21</v>
      </c>
      <c r="E161">
        <v>53.183300000000003</v>
      </c>
      <c r="F161">
        <v>22.083300000000001</v>
      </c>
      <c r="G161" t="s">
        <v>32</v>
      </c>
      <c r="H161" t="s">
        <v>33</v>
      </c>
      <c r="I161" t="s">
        <v>398</v>
      </c>
      <c r="J161" t="s">
        <v>25</v>
      </c>
      <c r="K161" s="15">
        <v>6</v>
      </c>
      <c r="L161">
        <v>140</v>
      </c>
      <c r="M161">
        <v>840</v>
      </c>
      <c r="N161" t="s">
        <v>642</v>
      </c>
      <c r="O161">
        <v>2018</v>
      </c>
      <c r="P161" t="s">
        <v>119</v>
      </c>
      <c r="Q161" t="s">
        <v>71</v>
      </c>
      <c r="R161" t="s">
        <v>72</v>
      </c>
    </row>
    <row r="162" spans="1:18" x14ac:dyDescent="0.35">
      <c r="A162" t="s">
        <v>635</v>
      </c>
      <c r="B162" t="s">
        <v>399</v>
      </c>
      <c r="C162" s="11" t="s">
        <v>400</v>
      </c>
      <c r="D162" t="s">
        <v>21</v>
      </c>
      <c r="E162">
        <v>49.6556</v>
      </c>
      <c r="F162">
        <v>21.160399999999999</v>
      </c>
      <c r="G162" t="s">
        <v>22</v>
      </c>
      <c r="H162" t="s">
        <v>79</v>
      </c>
      <c r="I162" t="s">
        <v>401</v>
      </c>
      <c r="J162" t="s">
        <v>47</v>
      </c>
      <c r="K162" s="15">
        <v>5</v>
      </c>
      <c r="L162">
        <v>113</v>
      </c>
      <c r="M162">
        <v>565</v>
      </c>
      <c r="N162" t="s">
        <v>26</v>
      </c>
      <c r="O162">
        <v>2018</v>
      </c>
      <c r="P162" t="s">
        <v>41</v>
      </c>
      <c r="Q162" t="s">
        <v>42</v>
      </c>
      <c r="R162" t="s">
        <v>43</v>
      </c>
    </row>
    <row r="163" spans="1:18" x14ac:dyDescent="0.35">
      <c r="A163" t="s">
        <v>635</v>
      </c>
      <c r="B163" t="s">
        <v>402</v>
      </c>
      <c r="C163" s="11" t="s">
        <v>403</v>
      </c>
      <c r="D163" t="s">
        <v>21</v>
      </c>
      <c r="E163">
        <v>54.166699999999999</v>
      </c>
      <c r="F163">
        <v>15.566700000000001</v>
      </c>
      <c r="G163" t="s">
        <v>32</v>
      </c>
      <c r="H163" t="s">
        <v>39</v>
      </c>
      <c r="I163" t="s">
        <v>404</v>
      </c>
      <c r="J163" t="s">
        <v>134</v>
      </c>
      <c r="K163" s="15">
        <v>11</v>
      </c>
      <c r="L163">
        <v>408</v>
      </c>
      <c r="M163">
        <v>4488</v>
      </c>
      <c r="N163" t="s">
        <v>26</v>
      </c>
      <c r="O163">
        <v>2018</v>
      </c>
      <c r="P163" t="s">
        <v>76</v>
      </c>
      <c r="Q163" t="s">
        <v>42</v>
      </c>
      <c r="R163" t="s">
        <v>43</v>
      </c>
    </row>
    <row r="164" spans="1:18" x14ac:dyDescent="0.35">
      <c r="A164" t="s">
        <v>635</v>
      </c>
      <c r="B164" t="s">
        <v>659</v>
      </c>
      <c r="C164" s="11" t="s">
        <v>329</v>
      </c>
      <c r="D164" t="s">
        <v>21</v>
      </c>
      <c r="E164">
        <v>51</v>
      </c>
      <c r="F164">
        <v>16.333300000000001</v>
      </c>
      <c r="G164" t="s">
        <v>32</v>
      </c>
      <c r="H164" t="s">
        <v>39</v>
      </c>
      <c r="I164" t="s">
        <v>405</v>
      </c>
      <c r="J164" t="s">
        <v>47</v>
      </c>
      <c r="K164" s="15">
        <v>5</v>
      </c>
      <c r="L164">
        <v>319</v>
      </c>
      <c r="M164">
        <v>1595</v>
      </c>
      <c r="N164" t="s">
        <v>26</v>
      </c>
      <c r="O164">
        <v>2018</v>
      </c>
      <c r="P164" t="s">
        <v>36</v>
      </c>
      <c r="Q164" t="s">
        <v>28</v>
      </c>
      <c r="R164" t="s">
        <v>29</v>
      </c>
    </row>
    <row r="165" spans="1:18" x14ac:dyDescent="0.35">
      <c r="A165" t="s">
        <v>635</v>
      </c>
      <c r="B165" t="s">
        <v>390</v>
      </c>
      <c r="C165" s="11" t="s">
        <v>391</v>
      </c>
      <c r="D165" t="s">
        <v>21</v>
      </c>
      <c r="E165">
        <v>50.170999999999999</v>
      </c>
      <c r="F165">
        <v>18.9041</v>
      </c>
      <c r="G165" t="s">
        <v>22</v>
      </c>
      <c r="H165" t="s">
        <v>79</v>
      </c>
      <c r="I165" t="s">
        <v>378</v>
      </c>
      <c r="J165" t="s">
        <v>25</v>
      </c>
      <c r="K165" s="15">
        <v>10</v>
      </c>
      <c r="L165">
        <v>513</v>
      </c>
      <c r="M165">
        <v>5130</v>
      </c>
      <c r="N165" t="s">
        <v>26</v>
      </c>
      <c r="O165">
        <v>2018</v>
      </c>
      <c r="P165" t="s">
        <v>41</v>
      </c>
      <c r="Q165" t="s">
        <v>42</v>
      </c>
      <c r="R165" t="s">
        <v>43</v>
      </c>
    </row>
    <row r="166" spans="1:18" x14ac:dyDescent="0.35">
      <c r="A166" t="s">
        <v>635</v>
      </c>
      <c r="B166" t="s">
        <v>295</v>
      </c>
      <c r="C166" s="11" t="s">
        <v>296</v>
      </c>
      <c r="D166" t="s">
        <v>21</v>
      </c>
      <c r="E166">
        <v>50.313099999999999</v>
      </c>
      <c r="F166">
        <v>17.374199999999998</v>
      </c>
      <c r="G166" t="s">
        <v>22</v>
      </c>
      <c r="H166" t="s">
        <v>79</v>
      </c>
      <c r="I166" t="s">
        <v>406</v>
      </c>
      <c r="J166" t="s">
        <v>86</v>
      </c>
      <c r="K166" s="15">
        <v>6</v>
      </c>
      <c r="L166">
        <v>345</v>
      </c>
      <c r="M166">
        <v>2070</v>
      </c>
      <c r="N166" t="s">
        <v>26</v>
      </c>
      <c r="O166">
        <v>2018</v>
      </c>
      <c r="P166" t="s">
        <v>76</v>
      </c>
      <c r="Q166" t="s">
        <v>42</v>
      </c>
      <c r="R166" t="s">
        <v>43</v>
      </c>
    </row>
    <row r="167" spans="1:18" x14ac:dyDescent="0.35">
      <c r="A167" t="s">
        <v>635</v>
      </c>
      <c r="B167" t="s">
        <v>157</v>
      </c>
      <c r="C167" s="11" t="s">
        <v>158</v>
      </c>
      <c r="D167" t="s">
        <v>652</v>
      </c>
      <c r="E167">
        <v>49.822499999999998</v>
      </c>
      <c r="F167">
        <v>19.0444</v>
      </c>
      <c r="G167" t="s">
        <v>32</v>
      </c>
      <c r="H167" t="s">
        <v>39</v>
      </c>
      <c r="I167" t="s">
        <v>407</v>
      </c>
      <c r="J167" t="s">
        <v>86</v>
      </c>
      <c r="K167" s="15">
        <v>6</v>
      </c>
      <c r="L167">
        <v>375</v>
      </c>
      <c r="M167">
        <v>2250</v>
      </c>
      <c r="N167" t="s">
        <v>26</v>
      </c>
      <c r="O167">
        <v>2018</v>
      </c>
      <c r="P167" t="s">
        <v>41</v>
      </c>
      <c r="Q167" t="s">
        <v>42</v>
      </c>
      <c r="R167" t="s">
        <v>43</v>
      </c>
    </row>
    <row r="168" spans="1:18" x14ac:dyDescent="0.35">
      <c r="A168" t="s">
        <v>635</v>
      </c>
      <c r="B168" t="s">
        <v>67</v>
      </c>
      <c r="C168" s="11" t="s">
        <v>68</v>
      </c>
      <c r="D168" t="s">
        <v>264</v>
      </c>
      <c r="E168">
        <v>53.3583</v>
      </c>
      <c r="F168">
        <v>20.425000000000001</v>
      </c>
      <c r="G168" t="s">
        <v>22</v>
      </c>
      <c r="H168" t="s">
        <v>23</v>
      </c>
      <c r="I168" t="s">
        <v>401</v>
      </c>
      <c r="J168" t="s">
        <v>47</v>
      </c>
      <c r="K168" s="15">
        <v>6</v>
      </c>
      <c r="L168">
        <v>113</v>
      </c>
      <c r="M168">
        <v>678</v>
      </c>
      <c r="N168" t="s">
        <v>26</v>
      </c>
      <c r="O168">
        <v>2018</v>
      </c>
      <c r="P168" t="s">
        <v>63</v>
      </c>
      <c r="Q168" t="s">
        <v>28</v>
      </c>
      <c r="R168" t="s">
        <v>29</v>
      </c>
    </row>
    <row r="169" spans="1:18" x14ac:dyDescent="0.35">
      <c r="A169" t="s">
        <v>635</v>
      </c>
      <c r="B169" t="s">
        <v>195</v>
      </c>
      <c r="C169" s="11" t="s">
        <v>196</v>
      </c>
      <c r="D169" t="s">
        <v>21</v>
      </c>
      <c r="E169">
        <v>53.4925</v>
      </c>
      <c r="F169">
        <v>18.7761</v>
      </c>
      <c r="G169" t="s">
        <v>32</v>
      </c>
      <c r="H169" t="s">
        <v>33</v>
      </c>
      <c r="I169" t="s">
        <v>381</v>
      </c>
      <c r="J169" t="s">
        <v>25</v>
      </c>
      <c r="K169" s="15">
        <v>2</v>
      </c>
      <c r="L169">
        <v>361</v>
      </c>
      <c r="M169">
        <v>722</v>
      </c>
      <c r="N169" t="s">
        <v>26</v>
      </c>
      <c r="O169">
        <v>2018</v>
      </c>
      <c r="P169" t="s">
        <v>76</v>
      </c>
      <c r="Q169" t="s">
        <v>42</v>
      </c>
      <c r="R169" t="s">
        <v>43</v>
      </c>
    </row>
    <row r="170" spans="1:18" x14ac:dyDescent="0.35">
      <c r="A170" t="s">
        <v>635</v>
      </c>
      <c r="B170" t="s">
        <v>67</v>
      </c>
      <c r="C170" s="11" t="s">
        <v>68</v>
      </c>
      <c r="D170" t="s">
        <v>21</v>
      </c>
      <c r="E170">
        <v>53.3583</v>
      </c>
      <c r="F170">
        <v>20.425000000000001</v>
      </c>
      <c r="G170" t="s">
        <v>22</v>
      </c>
      <c r="H170" t="s">
        <v>23</v>
      </c>
      <c r="I170" t="s">
        <v>408</v>
      </c>
      <c r="J170" t="s">
        <v>86</v>
      </c>
      <c r="K170" s="15">
        <v>3</v>
      </c>
      <c r="L170">
        <v>612</v>
      </c>
      <c r="M170">
        <v>0</v>
      </c>
      <c r="N170" t="s">
        <v>26</v>
      </c>
      <c r="O170">
        <v>2018</v>
      </c>
      <c r="P170" t="s">
        <v>105</v>
      </c>
      <c r="Q170" t="s">
        <v>71</v>
      </c>
      <c r="R170" t="s">
        <v>72</v>
      </c>
    </row>
    <row r="171" spans="1:18" x14ac:dyDescent="0.35">
      <c r="A171" t="s">
        <v>635</v>
      </c>
      <c r="B171" t="s">
        <v>409</v>
      </c>
      <c r="C171" s="11" t="s">
        <v>410</v>
      </c>
      <c r="D171" t="s">
        <v>21</v>
      </c>
      <c r="E171">
        <v>53.735799999999998</v>
      </c>
      <c r="F171">
        <v>18.930800000000001</v>
      </c>
      <c r="G171" t="s">
        <v>32</v>
      </c>
      <c r="H171" t="s">
        <v>39</v>
      </c>
      <c r="I171" t="s">
        <v>411</v>
      </c>
      <c r="J171" t="s">
        <v>95</v>
      </c>
      <c r="K171" s="15">
        <v>3</v>
      </c>
      <c r="L171">
        <v>590</v>
      </c>
      <c r="M171">
        <v>0</v>
      </c>
      <c r="N171" t="s">
        <v>91</v>
      </c>
      <c r="O171">
        <v>2018</v>
      </c>
      <c r="P171" t="s">
        <v>57</v>
      </c>
      <c r="Q171" t="s">
        <v>58</v>
      </c>
      <c r="R171" t="s">
        <v>59</v>
      </c>
    </row>
    <row r="172" spans="1:18" x14ac:dyDescent="0.35">
      <c r="A172" t="s">
        <v>635</v>
      </c>
      <c r="B172" t="s">
        <v>412</v>
      </c>
      <c r="C172" s="11" t="s">
        <v>413</v>
      </c>
      <c r="D172" t="s">
        <v>652</v>
      </c>
      <c r="E172">
        <v>53.116700000000002</v>
      </c>
      <c r="F172">
        <v>18</v>
      </c>
      <c r="G172" t="s">
        <v>22</v>
      </c>
      <c r="H172" t="s">
        <v>23</v>
      </c>
      <c r="I172" t="s">
        <v>349</v>
      </c>
      <c r="J172" t="s">
        <v>35</v>
      </c>
      <c r="K172" s="15">
        <v>1</v>
      </c>
      <c r="L172">
        <v>401</v>
      </c>
      <c r="M172">
        <v>0</v>
      </c>
      <c r="N172" t="s">
        <v>26</v>
      </c>
      <c r="O172">
        <v>2018</v>
      </c>
      <c r="P172" t="s">
        <v>70</v>
      </c>
      <c r="Q172" t="s">
        <v>71</v>
      </c>
      <c r="R172" t="s">
        <v>72</v>
      </c>
    </row>
    <row r="173" spans="1:18" x14ac:dyDescent="0.35">
      <c r="A173" t="s">
        <v>635</v>
      </c>
      <c r="B173" t="s">
        <v>146</v>
      </c>
      <c r="C173" s="11" t="s">
        <v>147</v>
      </c>
      <c r="D173" t="s">
        <v>21</v>
      </c>
      <c r="E173">
        <v>50.475099999999998</v>
      </c>
      <c r="F173">
        <v>17.965399999999999</v>
      </c>
      <c r="G173" t="s">
        <v>32</v>
      </c>
      <c r="H173" t="s">
        <v>39</v>
      </c>
      <c r="I173" t="s">
        <v>414</v>
      </c>
      <c r="J173" t="s">
        <v>47</v>
      </c>
      <c r="K173" s="15">
        <v>5</v>
      </c>
      <c r="L173">
        <v>445</v>
      </c>
      <c r="M173">
        <v>0</v>
      </c>
      <c r="N173" t="s">
        <v>26</v>
      </c>
      <c r="O173">
        <v>2018</v>
      </c>
      <c r="P173" t="s">
        <v>87</v>
      </c>
      <c r="Q173" t="s">
        <v>42</v>
      </c>
      <c r="R173" t="s">
        <v>43</v>
      </c>
    </row>
    <row r="174" spans="1:18" x14ac:dyDescent="0.35">
      <c r="A174" t="s">
        <v>635</v>
      </c>
      <c r="B174" t="s">
        <v>415</v>
      </c>
      <c r="C174" s="11" t="s">
        <v>416</v>
      </c>
      <c r="D174" t="s">
        <v>21</v>
      </c>
      <c r="E174">
        <v>51.787700000000001</v>
      </c>
      <c r="F174">
        <v>14.9724</v>
      </c>
      <c r="G174" t="s">
        <v>22</v>
      </c>
      <c r="H174" t="s">
        <v>23</v>
      </c>
      <c r="I174" t="s">
        <v>349</v>
      </c>
      <c r="J174" t="s">
        <v>35</v>
      </c>
      <c r="K174" s="15">
        <v>20</v>
      </c>
      <c r="L174">
        <v>401</v>
      </c>
      <c r="M174">
        <v>0</v>
      </c>
      <c r="N174" t="s">
        <v>26</v>
      </c>
      <c r="O174">
        <v>2018</v>
      </c>
      <c r="P174" t="s">
        <v>70</v>
      </c>
      <c r="Q174" t="s">
        <v>71</v>
      </c>
      <c r="R174" t="s">
        <v>72</v>
      </c>
    </row>
    <row r="175" spans="1:18" x14ac:dyDescent="0.35">
      <c r="A175" t="s">
        <v>635</v>
      </c>
      <c r="B175" t="s">
        <v>388</v>
      </c>
      <c r="C175" s="11" t="s">
        <v>389</v>
      </c>
      <c r="D175" t="s">
        <v>652</v>
      </c>
      <c r="E175">
        <v>50.3</v>
      </c>
      <c r="F175">
        <v>19.166699999999999</v>
      </c>
      <c r="G175" t="s">
        <v>32</v>
      </c>
      <c r="H175" t="s">
        <v>33</v>
      </c>
      <c r="I175" t="s">
        <v>318</v>
      </c>
      <c r="J175" t="s">
        <v>86</v>
      </c>
      <c r="K175" s="15">
        <v>10</v>
      </c>
      <c r="L175">
        <v>655</v>
      </c>
      <c r="M175">
        <v>0</v>
      </c>
      <c r="N175" t="s">
        <v>26</v>
      </c>
      <c r="O175">
        <v>2018</v>
      </c>
      <c r="P175" t="s">
        <v>87</v>
      </c>
      <c r="Q175" t="s">
        <v>42</v>
      </c>
      <c r="R175" t="s">
        <v>43</v>
      </c>
    </row>
    <row r="176" spans="1:18" x14ac:dyDescent="0.35">
      <c r="A176" t="s">
        <v>635</v>
      </c>
      <c r="B176" t="s">
        <v>417</v>
      </c>
      <c r="C176" s="11" t="s">
        <v>418</v>
      </c>
      <c r="D176" t="s">
        <v>21</v>
      </c>
      <c r="E176">
        <v>50.933300000000003</v>
      </c>
      <c r="F176">
        <v>21.4</v>
      </c>
      <c r="G176" t="s">
        <v>32</v>
      </c>
      <c r="H176" t="s">
        <v>39</v>
      </c>
      <c r="I176" t="s">
        <v>419</v>
      </c>
      <c r="J176" t="s">
        <v>47</v>
      </c>
      <c r="K176" s="15">
        <v>6</v>
      </c>
      <c r="L176">
        <v>301</v>
      </c>
      <c r="M176">
        <v>0</v>
      </c>
      <c r="N176" t="s">
        <v>26</v>
      </c>
      <c r="O176">
        <v>2018</v>
      </c>
      <c r="P176" t="s">
        <v>52</v>
      </c>
      <c r="Q176" t="s">
        <v>28</v>
      </c>
      <c r="R176" t="s">
        <v>29</v>
      </c>
    </row>
    <row r="177" spans="1:18" x14ac:dyDescent="0.35">
      <c r="A177" t="s">
        <v>635</v>
      </c>
      <c r="B177" t="s">
        <v>637</v>
      </c>
      <c r="C177" s="11" t="s">
        <v>31</v>
      </c>
      <c r="D177" t="s">
        <v>21</v>
      </c>
      <c r="E177">
        <v>53.416699999999999</v>
      </c>
      <c r="F177">
        <v>18.433299999999999</v>
      </c>
      <c r="G177" t="s">
        <v>32</v>
      </c>
      <c r="H177" t="s">
        <v>33</v>
      </c>
      <c r="I177" t="s">
        <v>420</v>
      </c>
      <c r="J177" t="s">
        <v>134</v>
      </c>
      <c r="K177" s="15">
        <v>4</v>
      </c>
      <c r="L177">
        <v>73</v>
      </c>
      <c r="M177">
        <v>292</v>
      </c>
      <c r="N177" t="s">
        <v>26</v>
      </c>
      <c r="O177">
        <v>2018</v>
      </c>
      <c r="P177" t="s">
        <v>105</v>
      </c>
      <c r="Q177" t="s">
        <v>71</v>
      </c>
      <c r="R177" t="s">
        <v>72</v>
      </c>
    </row>
    <row r="178" spans="1:18" x14ac:dyDescent="0.35">
      <c r="A178" t="s">
        <v>635</v>
      </c>
      <c r="B178" t="s">
        <v>421</v>
      </c>
      <c r="C178" s="11" t="s">
        <v>422</v>
      </c>
      <c r="D178" t="s">
        <v>21</v>
      </c>
      <c r="E178">
        <v>50.262799999999999</v>
      </c>
      <c r="F178">
        <v>18.8536</v>
      </c>
      <c r="G178" t="s">
        <v>32</v>
      </c>
      <c r="H178" t="s">
        <v>39</v>
      </c>
      <c r="I178" t="s">
        <v>423</v>
      </c>
      <c r="J178" t="s">
        <v>86</v>
      </c>
      <c r="K178" s="15">
        <v>10</v>
      </c>
      <c r="L178">
        <v>343</v>
      </c>
      <c r="M178">
        <v>3430</v>
      </c>
      <c r="N178" t="s">
        <v>26</v>
      </c>
      <c r="O178">
        <v>2018</v>
      </c>
      <c r="P178" t="s">
        <v>52</v>
      </c>
      <c r="Q178" t="s">
        <v>28</v>
      </c>
      <c r="R178" t="s">
        <v>29</v>
      </c>
    </row>
    <row r="179" spans="1:18" x14ac:dyDescent="0.35">
      <c r="A179" t="s">
        <v>635</v>
      </c>
      <c r="B179" t="s">
        <v>424</v>
      </c>
      <c r="C179" s="11" t="s">
        <v>425</v>
      </c>
      <c r="D179" t="s">
        <v>21</v>
      </c>
      <c r="E179">
        <v>52.416699999999999</v>
      </c>
      <c r="F179">
        <v>19.466699999999999</v>
      </c>
      <c r="G179" t="s">
        <v>22</v>
      </c>
      <c r="H179" t="s">
        <v>23</v>
      </c>
      <c r="I179" t="s">
        <v>426</v>
      </c>
      <c r="J179" t="s">
        <v>86</v>
      </c>
      <c r="K179" s="15">
        <v>10</v>
      </c>
      <c r="L179">
        <v>35</v>
      </c>
      <c r="M179">
        <v>350</v>
      </c>
      <c r="N179" t="s">
        <v>26</v>
      </c>
      <c r="O179">
        <v>2018</v>
      </c>
      <c r="P179" t="s">
        <v>82</v>
      </c>
      <c r="Q179" t="s">
        <v>58</v>
      </c>
      <c r="R179" t="s">
        <v>59</v>
      </c>
    </row>
    <row r="180" spans="1:18" x14ac:dyDescent="0.35">
      <c r="A180" t="s">
        <v>635</v>
      </c>
      <c r="B180" t="s">
        <v>415</v>
      </c>
      <c r="C180" s="11" t="s">
        <v>416</v>
      </c>
      <c r="D180" t="s">
        <v>21</v>
      </c>
      <c r="E180">
        <v>51.787700000000001</v>
      </c>
      <c r="F180">
        <v>14.9724</v>
      </c>
      <c r="G180" t="s">
        <v>22</v>
      </c>
      <c r="H180" t="s">
        <v>23</v>
      </c>
      <c r="I180" t="s">
        <v>427</v>
      </c>
      <c r="J180" t="s">
        <v>35</v>
      </c>
      <c r="K180" s="15">
        <v>6</v>
      </c>
      <c r="L180">
        <v>664</v>
      </c>
      <c r="M180">
        <v>3984</v>
      </c>
      <c r="N180" t="s">
        <v>26</v>
      </c>
      <c r="O180">
        <v>2018</v>
      </c>
      <c r="P180" t="s">
        <v>52</v>
      </c>
      <c r="Q180" t="s">
        <v>28</v>
      </c>
      <c r="R180" t="s">
        <v>29</v>
      </c>
    </row>
    <row r="181" spans="1:18" x14ac:dyDescent="0.35">
      <c r="A181" t="s">
        <v>635</v>
      </c>
      <c r="B181" t="s">
        <v>229</v>
      </c>
      <c r="C181" s="11" t="s">
        <v>230</v>
      </c>
      <c r="D181" t="s">
        <v>21</v>
      </c>
      <c r="E181">
        <v>54.441899999999997</v>
      </c>
      <c r="F181">
        <v>18.547799999999999</v>
      </c>
      <c r="G181" t="s">
        <v>22</v>
      </c>
      <c r="H181" t="s">
        <v>23</v>
      </c>
      <c r="I181" t="s">
        <v>428</v>
      </c>
      <c r="J181" t="s">
        <v>95</v>
      </c>
      <c r="K181" s="15">
        <v>2</v>
      </c>
      <c r="L181">
        <v>420</v>
      </c>
      <c r="M181">
        <v>840</v>
      </c>
      <c r="N181" t="s">
        <v>26</v>
      </c>
      <c r="O181">
        <v>2018</v>
      </c>
      <c r="P181" t="s">
        <v>63</v>
      </c>
      <c r="Q181" t="s">
        <v>28</v>
      </c>
      <c r="R181" t="s">
        <v>29</v>
      </c>
    </row>
    <row r="182" spans="1:18" x14ac:dyDescent="0.35">
      <c r="A182" t="s">
        <v>635</v>
      </c>
      <c r="B182" t="s">
        <v>314</v>
      </c>
      <c r="C182" s="11" t="s">
        <v>315</v>
      </c>
      <c r="D182" t="s">
        <v>21</v>
      </c>
      <c r="E182">
        <v>50.016199999999998</v>
      </c>
      <c r="F182">
        <v>22.677800000000001</v>
      </c>
      <c r="G182" t="s">
        <v>22</v>
      </c>
      <c r="H182" t="s">
        <v>79</v>
      </c>
      <c r="I182" t="s">
        <v>429</v>
      </c>
      <c r="J182" t="s">
        <v>134</v>
      </c>
      <c r="K182" s="15">
        <v>1</v>
      </c>
      <c r="L182">
        <v>420</v>
      </c>
      <c r="M182">
        <v>420</v>
      </c>
      <c r="N182" t="s">
        <v>26</v>
      </c>
      <c r="O182">
        <v>2018</v>
      </c>
      <c r="P182" t="s">
        <v>70</v>
      </c>
      <c r="Q182" t="s">
        <v>71</v>
      </c>
      <c r="R182" t="s">
        <v>72</v>
      </c>
    </row>
    <row r="183" spans="1:18" x14ac:dyDescent="0.35">
      <c r="A183" t="s">
        <v>635</v>
      </c>
      <c r="B183" t="s">
        <v>96</v>
      </c>
      <c r="C183" s="11" t="s">
        <v>97</v>
      </c>
      <c r="D183" t="s">
        <v>21</v>
      </c>
      <c r="E183">
        <v>50.45</v>
      </c>
      <c r="F183">
        <v>18.866700000000002</v>
      </c>
      <c r="G183" t="s">
        <v>22</v>
      </c>
      <c r="H183" t="s">
        <v>23</v>
      </c>
      <c r="I183" t="s">
        <v>277</v>
      </c>
      <c r="J183" t="s">
        <v>86</v>
      </c>
      <c r="K183" s="15">
        <v>5</v>
      </c>
      <c r="L183">
        <v>794</v>
      </c>
      <c r="M183">
        <v>3970</v>
      </c>
      <c r="N183" t="s">
        <v>26</v>
      </c>
      <c r="O183">
        <v>2018</v>
      </c>
      <c r="P183" t="s">
        <v>87</v>
      </c>
      <c r="Q183" t="s">
        <v>42</v>
      </c>
      <c r="R183" t="s">
        <v>43</v>
      </c>
    </row>
    <row r="184" spans="1:18" x14ac:dyDescent="0.35">
      <c r="A184" t="s">
        <v>635</v>
      </c>
      <c r="B184" t="s">
        <v>430</v>
      </c>
      <c r="C184" s="11" t="s">
        <v>431</v>
      </c>
      <c r="D184" t="s">
        <v>21</v>
      </c>
      <c r="E184">
        <v>50.673099999999998</v>
      </c>
      <c r="F184">
        <v>18.213100000000001</v>
      </c>
      <c r="G184" t="s">
        <v>32</v>
      </c>
      <c r="H184" t="s">
        <v>39</v>
      </c>
      <c r="I184" t="s">
        <v>344</v>
      </c>
      <c r="J184" t="s">
        <v>35</v>
      </c>
      <c r="K184" s="15">
        <v>4</v>
      </c>
      <c r="L184">
        <v>611</v>
      </c>
      <c r="M184">
        <v>2444</v>
      </c>
      <c r="N184" t="s">
        <v>26</v>
      </c>
      <c r="O184">
        <v>2018</v>
      </c>
      <c r="P184" t="s">
        <v>63</v>
      </c>
      <c r="Q184" t="s">
        <v>28</v>
      </c>
      <c r="R184" t="s">
        <v>29</v>
      </c>
    </row>
    <row r="185" spans="1:18" x14ac:dyDescent="0.35">
      <c r="A185" t="s">
        <v>635</v>
      </c>
      <c r="B185" t="s">
        <v>432</v>
      </c>
      <c r="C185" s="11" t="s">
        <v>433</v>
      </c>
      <c r="D185" t="s">
        <v>21</v>
      </c>
      <c r="E185">
        <v>52.427199999999999</v>
      </c>
      <c r="F185">
        <v>22.862500000000001</v>
      </c>
      <c r="G185" t="s">
        <v>22</v>
      </c>
      <c r="H185" t="s">
        <v>23</v>
      </c>
      <c r="I185" t="s">
        <v>423</v>
      </c>
      <c r="J185" t="s">
        <v>86</v>
      </c>
      <c r="K185" s="15">
        <v>2</v>
      </c>
      <c r="L185">
        <v>343</v>
      </c>
      <c r="M185">
        <v>686</v>
      </c>
      <c r="N185" t="s">
        <v>26</v>
      </c>
      <c r="O185">
        <v>2018</v>
      </c>
      <c r="P185" t="s">
        <v>27</v>
      </c>
      <c r="Q185" t="s">
        <v>28</v>
      </c>
      <c r="R185" t="s">
        <v>29</v>
      </c>
    </row>
    <row r="186" spans="1:18" x14ac:dyDescent="0.35">
      <c r="A186" t="s">
        <v>635</v>
      </c>
      <c r="B186" t="s">
        <v>67</v>
      </c>
      <c r="C186" s="11" t="s">
        <v>68</v>
      </c>
      <c r="D186" t="s">
        <v>21</v>
      </c>
      <c r="E186">
        <v>53.3583</v>
      </c>
      <c r="F186">
        <v>20.425000000000001</v>
      </c>
      <c r="G186" t="s">
        <v>22</v>
      </c>
      <c r="H186" t="s">
        <v>23</v>
      </c>
      <c r="I186" t="s">
        <v>148</v>
      </c>
      <c r="J186" t="s">
        <v>86</v>
      </c>
      <c r="K186" s="15">
        <v>2</v>
      </c>
      <c r="L186">
        <v>692</v>
      </c>
      <c r="M186">
        <v>1384</v>
      </c>
      <c r="N186">
        <v>12</v>
      </c>
      <c r="O186">
        <v>2018</v>
      </c>
      <c r="P186" t="s">
        <v>105</v>
      </c>
      <c r="Q186" t="s">
        <v>71</v>
      </c>
      <c r="R186" t="s">
        <v>72</v>
      </c>
    </row>
    <row r="187" spans="1:18" x14ac:dyDescent="0.35">
      <c r="A187" t="s">
        <v>635</v>
      </c>
      <c r="B187" t="s">
        <v>138</v>
      </c>
      <c r="C187" s="11" t="s">
        <v>139</v>
      </c>
      <c r="D187" t="s">
        <v>21</v>
      </c>
      <c r="E187">
        <v>50.1556</v>
      </c>
      <c r="F187">
        <v>23.123000000000001</v>
      </c>
      <c r="G187" t="s">
        <v>32</v>
      </c>
      <c r="H187" t="s">
        <v>39</v>
      </c>
      <c r="I187" t="s">
        <v>168</v>
      </c>
      <c r="J187" t="s">
        <v>95</v>
      </c>
      <c r="K187" s="15">
        <v>6</v>
      </c>
      <c r="L187">
        <v>768</v>
      </c>
      <c r="M187">
        <v>4608</v>
      </c>
      <c r="N187" t="s">
        <v>26</v>
      </c>
      <c r="O187">
        <v>2018</v>
      </c>
      <c r="P187" t="s">
        <v>57</v>
      </c>
      <c r="Q187" t="s">
        <v>58</v>
      </c>
      <c r="R187" t="s">
        <v>59</v>
      </c>
    </row>
    <row r="188" spans="1:18" x14ac:dyDescent="0.35">
      <c r="A188" t="s">
        <v>635</v>
      </c>
      <c r="B188" t="s">
        <v>654</v>
      </c>
      <c r="C188" s="11" t="s">
        <v>287</v>
      </c>
      <c r="D188" t="s">
        <v>21</v>
      </c>
      <c r="E188">
        <v>50.297600000000003</v>
      </c>
      <c r="F188">
        <v>18.676600000000001</v>
      </c>
      <c r="G188" t="s">
        <v>32</v>
      </c>
      <c r="H188" t="s">
        <v>33</v>
      </c>
      <c r="I188" t="s">
        <v>434</v>
      </c>
      <c r="J188" t="s">
        <v>25</v>
      </c>
      <c r="K188" s="15">
        <v>100</v>
      </c>
      <c r="L188">
        <v>180</v>
      </c>
      <c r="M188">
        <v>18000</v>
      </c>
      <c r="N188" t="s">
        <v>26</v>
      </c>
      <c r="O188">
        <v>2018</v>
      </c>
      <c r="P188" t="s">
        <v>63</v>
      </c>
      <c r="Q188" t="s">
        <v>28</v>
      </c>
      <c r="R188" t="s">
        <v>29</v>
      </c>
    </row>
    <row r="189" spans="1:18" x14ac:dyDescent="0.35">
      <c r="A189" t="s">
        <v>635</v>
      </c>
      <c r="B189" t="s">
        <v>288</v>
      </c>
      <c r="C189" s="11" t="s">
        <v>289</v>
      </c>
      <c r="D189" t="s">
        <v>21</v>
      </c>
      <c r="E189">
        <v>49.75</v>
      </c>
      <c r="F189">
        <v>18.633299999999998</v>
      </c>
      <c r="G189" t="s">
        <v>32</v>
      </c>
      <c r="H189" t="s">
        <v>33</v>
      </c>
      <c r="I189" t="s">
        <v>435</v>
      </c>
      <c r="J189" t="s">
        <v>86</v>
      </c>
      <c r="K189" s="15">
        <v>10</v>
      </c>
      <c r="L189">
        <v>742</v>
      </c>
      <c r="M189">
        <v>7420</v>
      </c>
      <c r="N189" t="s">
        <v>26</v>
      </c>
      <c r="O189">
        <v>2018</v>
      </c>
      <c r="P189" t="s">
        <v>36</v>
      </c>
      <c r="Q189" t="s">
        <v>28</v>
      </c>
      <c r="R189" t="s">
        <v>29</v>
      </c>
    </row>
    <row r="190" spans="1:18" x14ac:dyDescent="0.35">
      <c r="A190" t="s">
        <v>635</v>
      </c>
      <c r="B190" t="s">
        <v>670</v>
      </c>
      <c r="C190" s="11" t="s">
        <v>437</v>
      </c>
      <c r="D190" t="s">
        <v>21</v>
      </c>
      <c r="E190">
        <v>52.588299999999997</v>
      </c>
      <c r="F190">
        <v>14.666700000000001</v>
      </c>
      <c r="G190" t="s">
        <v>22</v>
      </c>
      <c r="H190" t="s">
        <v>79</v>
      </c>
      <c r="I190" t="s">
        <v>85</v>
      </c>
      <c r="J190" t="s">
        <v>86</v>
      </c>
      <c r="K190" s="15">
        <v>1</v>
      </c>
      <c r="L190">
        <v>249</v>
      </c>
      <c r="M190">
        <v>249</v>
      </c>
      <c r="N190" t="s">
        <v>26</v>
      </c>
      <c r="O190">
        <v>2018</v>
      </c>
      <c r="P190" t="s">
        <v>119</v>
      </c>
      <c r="Q190" t="s">
        <v>71</v>
      </c>
      <c r="R190" t="s">
        <v>72</v>
      </c>
    </row>
    <row r="191" spans="1:18" x14ac:dyDescent="0.35">
      <c r="A191" t="s">
        <v>635</v>
      </c>
      <c r="B191" t="s">
        <v>208</v>
      </c>
      <c r="C191" s="11" t="s">
        <v>209</v>
      </c>
      <c r="D191" t="s">
        <v>21</v>
      </c>
      <c r="E191">
        <v>53.916699999999999</v>
      </c>
      <c r="F191">
        <v>14.25</v>
      </c>
      <c r="G191" t="s">
        <v>22</v>
      </c>
      <c r="H191" t="s">
        <v>79</v>
      </c>
      <c r="I191" t="s">
        <v>217</v>
      </c>
      <c r="J191" t="s">
        <v>35</v>
      </c>
      <c r="K191" s="15">
        <v>250</v>
      </c>
      <c r="L191">
        <v>424</v>
      </c>
      <c r="N191" t="s">
        <v>26</v>
      </c>
      <c r="O191">
        <v>2018</v>
      </c>
      <c r="P191" t="s">
        <v>76</v>
      </c>
      <c r="Q191" t="s">
        <v>42</v>
      </c>
      <c r="R191" t="s">
        <v>43</v>
      </c>
    </row>
    <row r="192" spans="1:18" x14ac:dyDescent="0.35">
      <c r="A192" t="s">
        <v>635</v>
      </c>
      <c r="B192" t="s">
        <v>160</v>
      </c>
      <c r="C192" s="11" t="s">
        <v>161</v>
      </c>
      <c r="D192" t="s">
        <v>21</v>
      </c>
      <c r="E192">
        <v>53.2667</v>
      </c>
      <c r="F192">
        <v>16.466699999999999</v>
      </c>
      <c r="G192" t="s">
        <v>22</v>
      </c>
      <c r="H192" t="s">
        <v>79</v>
      </c>
      <c r="I192" t="s">
        <v>321</v>
      </c>
      <c r="J192" t="s">
        <v>86</v>
      </c>
      <c r="K192" s="15">
        <v>10</v>
      </c>
      <c r="L192">
        <v>390</v>
      </c>
      <c r="N192">
        <v>12</v>
      </c>
      <c r="O192">
        <v>2018</v>
      </c>
      <c r="P192" t="s">
        <v>115</v>
      </c>
      <c r="Q192" t="s">
        <v>58</v>
      </c>
      <c r="R192" t="s">
        <v>59</v>
      </c>
    </row>
    <row r="193" spans="1:18" x14ac:dyDescent="0.35">
      <c r="A193" t="s">
        <v>635</v>
      </c>
      <c r="B193" t="s">
        <v>438</v>
      </c>
      <c r="C193" s="11" t="s">
        <v>439</v>
      </c>
      <c r="D193" t="s">
        <v>21</v>
      </c>
      <c r="E193">
        <v>50</v>
      </c>
      <c r="F193">
        <v>19.149999999999999</v>
      </c>
      <c r="G193" t="s">
        <v>22</v>
      </c>
      <c r="H193" t="s">
        <v>23</v>
      </c>
      <c r="I193" t="s">
        <v>383</v>
      </c>
      <c r="J193" t="s">
        <v>25</v>
      </c>
      <c r="K193" s="15">
        <v>5</v>
      </c>
      <c r="L193">
        <v>334</v>
      </c>
      <c r="N193" t="s">
        <v>26</v>
      </c>
      <c r="O193">
        <v>2018</v>
      </c>
      <c r="P193" t="s">
        <v>41</v>
      </c>
      <c r="Q193" t="s">
        <v>42</v>
      </c>
      <c r="R193" t="s">
        <v>43</v>
      </c>
    </row>
    <row r="194" spans="1:18" x14ac:dyDescent="0.35">
      <c r="A194" t="s">
        <v>635</v>
      </c>
      <c r="B194" t="s">
        <v>440</v>
      </c>
      <c r="C194" s="11" t="s">
        <v>441</v>
      </c>
      <c r="D194" t="s">
        <v>21</v>
      </c>
      <c r="E194">
        <v>52.533299999999997</v>
      </c>
      <c r="F194">
        <v>17.600000000000001</v>
      </c>
      <c r="G194" t="s">
        <v>32</v>
      </c>
      <c r="H194" t="s">
        <v>33</v>
      </c>
      <c r="I194" t="s">
        <v>442</v>
      </c>
      <c r="J194" t="s">
        <v>86</v>
      </c>
      <c r="K194" s="15">
        <v>5</v>
      </c>
      <c r="L194">
        <v>416</v>
      </c>
      <c r="N194" t="s">
        <v>26</v>
      </c>
      <c r="O194">
        <v>2018</v>
      </c>
      <c r="P194" t="s">
        <v>36</v>
      </c>
      <c r="Q194" t="s">
        <v>28</v>
      </c>
      <c r="R194" t="s">
        <v>29</v>
      </c>
    </row>
    <row r="195" spans="1:18" x14ac:dyDescent="0.35">
      <c r="A195" t="s">
        <v>635</v>
      </c>
      <c r="B195" t="s">
        <v>180</v>
      </c>
      <c r="C195" s="11" t="s">
        <v>181</v>
      </c>
      <c r="D195" t="s">
        <v>21</v>
      </c>
      <c r="E195">
        <v>52.883299999999998</v>
      </c>
      <c r="F195">
        <v>18.783300000000001</v>
      </c>
      <c r="G195" t="s">
        <v>32</v>
      </c>
      <c r="H195" t="s">
        <v>33</v>
      </c>
      <c r="I195" t="s">
        <v>377</v>
      </c>
      <c r="J195" t="s">
        <v>95</v>
      </c>
      <c r="K195" s="15">
        <v>100</v>
      </c>
      <c r="L195">
        <v>141</v>
      </c>
      <c r="N195" t="s">
        <v>26</v>
      </c>
      <c r="O195">
        <v>2018</v>
      </c>
      <c r="P195" t="s">
        <v>57</v>
      </c>
      <c r="Q195" t="s">
        <v>58</v>
      </c>
      <c r="R195" t="s">
        <v>59</v>
      </c>
    </row>
    <row r="196" spans="1:18" x14ac:dyDescent="0.35">
      <c r="A196" t="s">
        <v>635</v>
      </c>
      <c r="B196" t="s">
        <v>73</v>
      </c>
      <c r="C196" s="11" t="s">
        <v>74</v>
      </c>
      <c r="D196" t="s">
        <v>21</v>
      </c>
      <c r="E196">
        <v>50.061399999999999</v>
      </c>
      <c r="F196">
        <v>19.937200000000001</v>
      </c>
      <c r="G196" t="s">
        <v>22</v>
      </c>
      <c r="H196" t="s">
        <v>23</v>
      </c>
      <c r="I196" t="s">
        <v>80</v>
      </c>
      <c r="J196" t="s">
        <v>25</v>
      </c>
      <c r="K196" s="15">
        <v>2</v>
      </c>
      <c r="L196">
        <v>762</v>
      </c>
      <c r="N196" t="s">
        <v>26</v>
      </c>
      <c r="O196">
        <v>2018</v>
      </c>
      <c r="P196" t="s">
        <v>119</v>
      </c>
      <c r="Q196" t="s">
        <v>71</v>
      </c>
      <c r="R196" t="s">
        <v>72</v>
      </c>
    </row>
    <row r="197" spans="1:18" x14ac:dyDescent="0.35">
      <c r="A197" t="s">
        <v>635</v>
      </c>
      <c r="B197" t="s">
        <v>198</v>
      </c>
      <c r="C197" s="11" t="s">
        <v>199</v>
      </c>
      <c r="D197" t="s">
        <v>21</v>
      </c>
      <c r="E197">
        <v>52.058300000000003</v>
      </c>
      <c r="F197">
        <v>19.2</v>
      </c>
      <c r="G197" t="s">
        <v>32</v>
      </c>
      <c r="H197" t="s">
        <v>39</v>
      </c>
      <c r="I197" t="s">
        <v>224</v>
      </c>
      <c r="J197" t="s">
        <v>47</v>
      </c>
      <c r="K197" s="15">
        <v>17</v>
      </c>
      <c r="L197">
        <v>722</v>
      </c>
      <c r="N197" t="s">
        <v>26</v>
      </c>
      <c r="O197">
        <v>2018</v>
      </c>
      <c r="P197" t="s">
        <v>41</v>
      </c>
      <c r="Q197" t="s">
        <v>42</v>
      </c>
      <c r="R197" t="s">
        <v>43</v>
      </c>
    </row>
    <row r="198" spans="1:18" x14ac:dyDescent="0.35">
      <c r="A198" t="s">
        <v>635</v>
      </c>
      <c r="B198" t="s">
        <v>375</v>
      </c>
      <c r="C198" s="11" t="s">
        <v>376</v>
      </c>
      <c r="D198" t="s">
        <v>21</v>
      </c>
      <c r="E198">
        <v>49.666699999999999</v>
      </c>
      <c r="F198">
        <v>18.866700000000002</v>
      </c>
      <c r="G198" t="s">
        <v>32</v>
      </c>
      <c r="H198" t="s">
        <v>39</v>
      </c>
      <c r="I198" t="s">
        <v>443</v>
      </c>
      <c r="J198" t="s">
        <v>134</v>
      </c>
      <c r="K198" s="15">
        <v>2</v>
      </c>
      <c r="L198">
        <v>377</v>
      </c>
      <c r="N198" t="s">
        <v>26</v>
      </c>
      <c r="O198">
        <v>2018</v>
      </c>
      <c r="P198" t="s">
        <v>36</v>
      </c>
      <c r="Q198" t="s">
        <v>28</v>
      </c>
      <c r="R198" t="s">
        <v>29</v>
      </c>
    </row>
    <row r="199" spans="1:18" x14ac:dyDescent="0.35">
      <c r="A199" t="s">
        <v>635</v>
      </c>
      <c r="B199" t="s">
        <v>229</v>
      </c>
      <c r="C199" s="11" t="s">
        <v>230</v>
      </c>
      <c r="D199" t="s">
        <v>21</v>
      </c>
      <c r="E199">
        <v>54.441899999999997</v>
      </c>
      <c r="F199">
        <v>18.547799999999999</v>
      </c>
      <c r="G199" t="s">
        <v>22</v>
      </c>
      <c r="H199" t="s">
        <v>23</v>
      </c>
      <c r="I199" t="s">
        <v>176</v>
      </c>
      <c r="J199" t="s">
        <v>35</v>
      </c>
      <c r="K199" s="15">
        <v>1</v>
      </c>
      <c r="L199">
        <v>458</v>
      </c>
      <c r="N199" t="s">
        <v>26</v>
      </c>
      <c r="O199">
        <v>2018</v>
      </c>
      <c r="P199" t="s">
        <v>87</v>
      </c>
      <c r="Q199" t="s">
        <v>42</v>
      </c>
      <c r="R199" t="s">
        <v>43</v>
      </c>
    </row>
    <row r="200" spans="1:18" x14ac:dyDescent="0.35">
      <c r="A200" t="s">
        <v>635</v>
      </c>
      <c r="B200" t="s">
        <v>444</v>
      </c>
      <c r="C200" s="11" t="s">
        <v>445</v>
      </c>
      <c r="D200" t="s">
        <v>21</v>
      </c>
      <c r="E200">
        <v>49.716700000000003</v>
      </c>
      <c r="F200">
        <v>18.816700000000001</v>
      </c>
      <c r="G200" t="s">
        <v>22</v>
      </c>
      <c r="H200" t="s">
        <v>79</v>
      </c>
      <c r="I200" t="s">
        <v>428</v>
      </c>
      <c r="J200" t="s">
        <v>95</v>
      </c>
      <c r="K200" s="15">
        <v>1</v>
      </c>
      <c r="L200">
        <v>420</v>
      </c>
      <c r="N200" t="s">
        <v>26</v>
      </c>
      <c r="O200">
        <v>2018</v>
      </c>
      <c r="P200" t="s">
        <v>119</v>
      </c>
      <c r="Q200" t="s">
        <v>71</v>
      </c>
      <c r="R200" t="s">
        <v>72</v>
      </c>
    </row>
    <row r="201" spans="1:18" x14ac:dyDescent="0.35">
      <c r="A201" t="s">
        <v>635</v>
      </c>
      <c r="B201" t="s">
        <v>180</v>
      </c>
      <c r="C201" s="11" t="s">
        <v>181</v>
      </c>
      <c r="D201" t="s">
        <v>21</v>
      </c>
      <c r="E201">
        <v>52.883299999999998</v>
      </c>
      <c r="F201">
        <v>18.783300000000001</v>
      </c>
      <c r="G201" t="s">
        <v>32</v>
      </c>
      <c r="H201" t="s">
        <v>33</v>
      </c>
      <c r="I201" t="s">
        <v>446</v>
      </c>
      <c r="J201" t="s">
        <v>86</v>
      </c>
      <c r="K201" s="15">
        <v>6</v>
      </c>
      <c r="L201">
        <v>785</v>
      </c>
      <c r="N201" t="s">
        <v>26</v>
      </c>
      <c r="O201">
        <v>2018</v>
      </c>
      <c r="P201" t="s">
        <v>27</v>
      </c>
      <c r="Q201" t="s">
        <v>28</v>
      </c>
      <c r="R201" t="s">
        <v>29</v>
      </c>
    </row>
    <row r="202" spans="1:18" x14ac:dyDescent="0.35">
      <c r="A202" t="s">
        <v>635</v>
      </c>
      <c r="B202" t="s">
        <v>447</v>
      </c>
      <c r="C202" s="11" t="s">
        <v>448</v>
      </c>
      <c r="D202" t="s">
        <v>21</v>
      </c>
      <c r="E202">
        <v>52.339500000000001</v>
      </c>
      <c r="F202">
        <v>21.195900000000002</v>
      </c>
      <c r="G202" t="s">
        <v>22</v>
      </c>
      <c r="H202" t="s">
        <v>79</v>
      </c>
      <c r="I202" t="s">
        <v>449</v>
      </c>
      <c r="J202" t="s">
        <v>35</v>
      </c>
      <c r="K202" s="15">
        <v>3</v>
      </c>
      <c r="L202">
        <v>780</v>
      </c>
      <c r="N202" t="s">
        <v>26</v>
      </c>
      <c r="O202">
        <v>2018</v>
      </c>
      <c r="P202" t="s">
        <v>87</v>
      </c>
      <c r="Q202" t="s">
        <v>42</v>
      </c>
      <c r="R202" t="s">
        <v>43</v>
      </c>
    </row>
    <row r="203" spans="1:18" x14ac:dyDescent="0.35">
      <c r="A203" t="s">
        <v>635</v>
      </c>
      <c r="B203" t="s">
        <v>120</v>
      </c>
      <c r="C203" s="11" t="s">
        <v>121</v>
      </c>
      <c r="D203" t="s">
        <v>21</v>
      </c>
      <c r="E203">
        <v>53.833300000000001</v>
      </c>
      <c r="F203">
        <v>18.833300000000001</v>
      </c>
      <c r="G203" t="s">
        <v>32</v>
      </c>
      <c r="H203" t="s">
        <v>33</v>
      </c>
      <c r="I203" t="s">
        <v>423</v>
      </c>
      <c r="J203" t="s">
        <v>86</v>
      </c>
      <c r="K203" s="15">
        <v>10</v>
      </c>
      <c r="L203">
        <v>343</v>
      </c>
      <c r="N203">
        <v>9</v>
      </c>
      <c r="O203">
        <v>2018</v>
      </c>
      <c r="P203" t="s">
        <v>36</v>
      </c>
      <c r="Q203" t="s">
        <v>28</v>
      </c>
      <c r="R203" t="s">
        <v>29</v>
      </c>
    </row>
    <row r="204" spans="1:18" x14ac:dyDescent="0.35">
      <c r="A204" t="s">
        <v>635</v>
      </c>
      <c r="B204" t="s">
        <v>319</v>
      </c>
      <c r="C204" s="11" t="s">
        <v>320</v>
      </c>
      <c r="D204" t="s">
        <v>21</v>
      </c>
      <c r="E204">
        <v>52.2333</v>
      </c>
      <c r="F204">
        <v>19.366700000000002</v>
      </c>
      <c r="G204" t="s">
        <v>32</v>
      </c>
      <c r="H204" t="s">
        <v>33</v>
      </c>
      <c r="I204" t="s">
        <v>450</v>
      </c>
      <c r="J204" t="s">
        <v>25</v>
      </c>
      <c r="K204" s="15">
        <v>3</v>
      </c>
      <c r="L204">
        <v>172</v>
      </c>
      <c r="N204" t="s">
        <v>26</v>
      </c>
      <c r="O204">
        <v>2018</v>
      </c>
      <c r="P204" t="s">
        <v>115</v>
      </c>
      <c r="Q204" t="s">
        <v>58</v>
      </c>
      <c r="R204" t="s">
        <v>59</v>
      </c>
    </row>
    <row r="205" spans="1:18" x14ac:dyDescent="0.35">
      <c r="A205" t="s">
        <v>635</v>
      </c>
      <c r="B205" t="s">
        <v>451</v>
      </c>
      <c r="C205" s="11" t="s">
        <v>452</v>
      </c>
      <c r="D205" t="s">
        <v>21</v>
      </c>
      <c r="E205">
        <v>52.093800000000002</v>
      </c>
      <c r="F205">
        <v>21.117599999999999</v>
      </c>
      <c r="G205" t="s">
        <v>22</v>
      </c>
      <c r="H205" t="s">
        <v>23</v>
      </c>
      <c r="I205" t="s">
        <v>140</v>
      </c>
      <c r="J205" t="s">
        <v>134</v>
      </c>
      <c r="K205" s="15">
        <v>2</v>
      </c>
      <c r="L205">
        <v>511</v>
      </c>
      <c r="N205" t="s">
        <v>26</v>
      </c>
      <c r="O205">
        <v>2018</v>
      </c>
      <c r="P205" t="s">
        <v>41</v>
      </c>
      <c r="Q205" t="s">
        <v>42</v>
      </c>
      <c r="R205" t="s">
        <v>43</v>
      </c>
    </row>
    <row r="206" spans="1:18" x14ac:dyDescent="0.35">
      <c r="A206" t="s">
        <v>635</v>
      </c>
      <c r="B206" t="s">
        <v>444</v>
      </c>
      <c r="C206" s="11" t="s">
        <v>445</v>
      </c>
      <c r="D206" t="s">
        <v>21</v>
      </c>
      <c r="E206">
        <v>49.716700000000003</v>
      </c>
      <c r="F206">
        <v>18.816700000000001</v>
      </c>
      <c r="G206" t="s">
        <v>22</v>
      </c>
      <c r="H206" t="s">
        <v>79</v>
      </c>
      <c r="I206" t="s">
        <v>453</v>
      </c>
      <c r="J206" t="s">
        <v>35</v>
      </c>
      <c r="K206" s="15">
        <v>20</v>
      </c>
      <c r="L206">
        <v>458</v>
      </c>
      <c r="N206" t="s">
        <v>26</v>
      </c>
      <c r="O206">
        <v>2018</v>
      </c>
      <c r="P206" t="s">
        <v>27</v>
      </c>
      <c r="Q206" t="s">
        <v>28</v>
      </c>
      <c r="R206" t="s">
        <v>29</v>
      </c>
    </row>
    <row r="207" spans="1:18" x14ac:dyDescent="0.35">
      <c r="A207" t="s">
        <v>635</v>
      </c>
      <c r="B207" t="s">
        <v>655</v>
      </c>
      <c r="C207" s="11" t="s">
        <v>294</v>
      </c>
      <c r="D207" t="s">
        <v>21</v>
      </c>
      <c r="E207">
        <v>53.349200000000003</v>
      </c>
      <c r="F207">
        <v>18.426100000000002</v>
      </c>
      <c r="G207" t="s">
        <v>22</v>
      </c>
      <c r="H207" t="s">
        <v>23</v>
      </c>
      <c r="I207" t="s">
        <v>454</v>
      </c>
      <c r="J207" t="s">
        <v>95</v>
      </c>
      <c r="K207" s="15">
        <v>5</v>
      </c>
      <c r="L207">
        <v>438</v>
      </c>
      <c r="N207" t="s">
        <v>26</v>
      </c>
      <c r="O207">
        <v>2018</v>
      </c>
      <c r="P207" t="s">
        <v>27</v>
      </c>
      <c r="Q207" t="s">
        <v>28</v>
      </c>
      <c r="R207" t="s">
        <v>29</v>
      </c>
    </row>
    <row r="208" spans="1:18" x14ac:dyDescent="0.35">
      <c r="A208" t="s">
        <v>635</v>
      </c>
      <c r="B208" t="s">
        <v>455</v>
      </c>
      <c r="C208" s="11" t="s">
        <v>456</v>
      </c>
      <c r="D208" t="s">
        <v>21</v>
      </c>
      <c r="E208">
        <v>50.898600000000002</v>
      </c>
      <c r="F208">
        <v>16.744399999999999</v>
      </c>
      <c r="G208" t="s">
        <v>22</v>
      </c>
      <c r="H208" t="s">
        <v>23</v>
      </c>
      <c r="I208" t="s">
        <v>457</v>
      </c>
      <c r="J208" t="s">
        <v>134</v>
      </c>
      <c r="K208" s="15">
        <v>10</v>
      </c>
      <c r="L208">
        <v>24</v>
      </c>
      <c r="M208">
        <v>240</v>
      </c>
      <c r="N208" t="s">
        <v>26</v>
      </c>
      <c r="O208">
        <v>2018</v>
      </c>
      <c r="P208" t="s">
        <v>57</v>
      </c>
      <c r="Q208" t="s">
        <v>58</v>
      </c>
      <c r="R208" t="s">
        <v>59</v>
      </c>
    </row>
    <row r="209" spans="1:18" x14ac:dyDescent="0.35">
      <c r="A209" t="s">
        <v>635</v>
      </c>
      <c r="B209" t="s">
        <v>671</v>
      </c>
      <c r="C209" s="11" t="s">
        <v>459</v>
      </c>
      <c r="D209" t="s">
        <v>21</v>
      </c>
      <c r="E209">
        <v>51.273000000000003</v>
      </c>
      <c r="F209">
        <v>16.708100000000002</v>
      </c>
      <c r="G209" t="s">
        <v>22</v>
      </c>
      <c r="H209" t="s">
        <v>23</v>
      </c>
      <c r="I209" t="s">
        <v>420</v>
      </c>
      <c r="J209" t="s">
        <v>134</v>
      </c>
      <c r="K209" s="15">
        <v>2</v>
      </c>
      <c r="L209">
        <v>73</v>
      </c>
      <c r="M209">
        <v>146</v>
      </c>
      <c r="N209" t="s">
        <v>26</v>
      </c>
      <c r="O209">
        <v>2018</v>
      </c>
      <c r="P209" t="s">
        <v>36</v>
      </c>
      <c r="Q209" t="s">
        <v>28</v>
      </c>
      <c r="R209" t="s">
        <v>29</v>
      </c>
    </row>
    <row r="210" spans="1:18" x14ac:dyDescent="0.35">
      <c r="A210" t="s">
        <v>635</v>
      </c>
      <c r="B210" t="s">
        <v>314</v>
      </c>
      <c r="C210" s="11" t="s">
        <v>315</v>
      </c>
      <c r="D210" t="s">
        <v>21</v>
      </c>
      <c r="E210">
        <v>50.016199999999998</v>
      </c>
      <c r="F210">
        <v>22.677800000000001</v>
      </c>
      <c r="G210" t="s">
        <v>22</v>
      </c>
      <c r="H210" t="s">
        <v>79</v>
      </c>
      <c r="I210" t="s">
        <v>460</v>
      </c>
      <c r="J210" t="s">
        <v>25</v>
      </c>
      <c r="K210" s="15">
        <v>4</v>
      </c>
      <c r="L210">
        <v>304</v>
      </c>
      <c r="M210">
        <v>1216</v>
      </c>
      <c r="N210" t="s">
        <v>26</v>
      </c>
      <c r="O210">
        <v>2018</v>
      </c>
      <c r="P210" t="s">
        <v>41</v>
      </c>
      <c r="Q210" t="s">
        <v>42</v>
      </c>
      <c r="R210" t="s">
        <v>43</v>
      </c>
    </row>
    <row r="211" spans="1:18" x14ac:dyDescent="0.35">
      <c r="A211" t="s">
        <v>635</v>
      </c>
      <c r="B211" t="s">
        <v>653</v>
      </c>
      <c r="C211" s="11" t="s">
        <v>281</v>
      </c>
      <c r="D211" t="s">
        <v>21</v>
      </c>
      <c r="E211">
        <v>52.253100000000003</v>
      </c>
      <c r="F211">
        <v>15.9178</v>
      </c>
      <c r="G211" t="s">
        <v>22</v>
      </c>
      <c r="H211" t="s">
        <v>23</v>
      </c>
      <c r="I211" t="s">
        <v>210</v>
      </c>
      <c r="J211" t="s">
        <v>47</v>
      </c>
      <c r="K211" s="15">
        <v>4</v>
      </c>
      <c r="L211">
        <v>778</v>
      </c>
      <c r="M211">
        <v>3112</v>
      </c>
      <c r="N211" t="s">
        <v>26</v>
      </c>
      <c r="O211">
        <v>2018</v>
      </c>
      <c r="P211" t="s">
        <v>82</v>
      </c>
      <c r="Q211" t="s">
        <v>58</v>
      </c>
      <c r="R211" t="s">
        <v>59</v>
      </c>
    </row>
    <row r="212" spans="1:18" x14ac:dyDescent="0.35">
      <c r="A212" t="s">
        <v>635</v>
      </c>
      <c r="B212" t="s">
        <v>672</v>
      </c>
      <c r="C212" s="11" t="s">
        <v>462</v>
      </c>
      <c r="D212" t="s">
        <v>21</v>
      </c>
      <c r="E212">
        <v>54.518900000000002</v>
      </c>
      <c r="F212">
        <v>18.5319</v>
      </c>
      <c r="G212" t="s">
        <v>32</v>
      </c>
      <c r="H212" t="s">
        <v>33</v>
      </c>
      <c r="I212" t="s">
        <v>242</v>
      </c>
      <c r="J212" t="s">
        <v>47</v>
      </c>
      <c r="K212" s="15">
        <v>1</v>
      </c>
      <c r="L212">
        <v>179</v>
      </c>
      <c r="M212">
        <v>179</v>
      </c>
      <c r="N212" t="s">
        <v>26</v>
      </c>
      <c r="O212">
        <v>2018</v>
      </c>
      <c r="P212" t="s">
        <v>36</v>
      </c>
      <c r="Q212" t="s">
        <v>28</v>
      </c>
      <c r="R212" t="s">
        <v>29</v>
      </c>
    </row>
    <row r="213" spans="1:18" x14ac:dyDescent="0.35">
      <c r="A213" t="s">
        <v>635</v>
      </c>
      <c r="B213" t="s">
        <v>347</v>
      </c>
      <c r="C213" s="11" t="s">
        <v>348</v>
      </c>
      <c r="D213" t="s">
        <v>21</v>
      </c>
      <c r="E213">
        <v>52.65</v>
      </c>
      <c r="F213">
        <v>19.05</v>
      </c>
      <c r="G213" t="s">
        <v>22</v>
      </c>
      <c r="H213" t="s">
        <v>23</v>
      </c>
      <c r="I213" t="s">
        <v>62</v>
      </c>
      <c r="J213" t="s">
        <v>47</v>
      </c>
      <c r="K213" s="15">
        <v>1</v>
      </c>
      <c r="L213">
        <v>536</v>
      </c>
      <c r="M213">
        <v>536</v>
      </c>
      <c r="N213" t="s">
        <v>26</v>
      </c>
      <c r="O213">
        <v>2018</v>
      </c>
      <c r="P213" t="s">
        <v>57</v>
      </c>
      <c r="Q213" t="s">
        <v>58</v>
      </c>
      <c r="R213" t="s">
        <v>59</v>
      </c>
    </row>
    <row r="214" spans="1:18" x14ac:dyDescent="0.35">
      <c r="A214" t="s">
        <v>635</v>
      </c>
      <c r="B214" t="s">
        <v>283</v>
      </c>
      <c r="C214" s="11" t="s">
        <v>284</v>
      </c>
      <c r="D214" t="s">
        <v>21</v>
      </c>
      <c r="E214">
        <v>54.383299999999998</v>
      </c>
      <c r="F214">
        <v>19.833300000000001</v>
      </c>
      <c r="G214" t="s">
        <v>32</v>
      </c>
      <c r="H214" t="s">
        <v>33</v>
      </c>
      <c r="I214" t="s">
        <v>210</v>
      </c>
      <c r="J214" t="s">
        <v>47</v>
      </c>
      <c r="K214" s="15">
        <v>5</v>
      </c>
      <c r="L214">
        <v>778</v>
      </c>
      <c r="M214">
        <v>3890</v>
      </c>
      <c r="N214" t="s">
        <v>26</v>
      </c>
      <c r="O214">
        <v>2018</v>
      </c>
      <c r="P214" t="s">
        <v>115</v>
      </c>
      <c r="Q214" t="s">
        <v>58</v>
      </c>
      <c r="R214" t="s">
        <v>59</v>
      </c>
    </row>
    <row r="215" spans="1:18" x14ac:dyDescent="0.35">
      <c r="A215" t="s">
        <v>635</v>
      </c>
      <c r="B215" t="s">
        <v>673</v>
      </c>
      <c r="C215" s="11" t="s">
        <v>464</v>
      </c>
      <c r="D215" t="s">
        <v>21</v>
      </c>
      <c r="E215">
        <v>50.433300000000003</v>
      </c>
      <c r="F215">
        <v>21.283300000000001</v>
      </c>
      <c r="G215" t="s">
        <v>32</v>
      </c>
      <c r="H215" t="s">
        <v>39</v>
      </c>
      <c r="I215" t="s">
        <v>344</v>
      </c>
      <c r="J215" t="s">
        <v>35</v>
      </c>
      <c r="K215" s="15">
        <v>10</v>
      </c>
      <c r="L215">
        <v>611</v>
      </c>
      <c r="M215">
        <v>6110</v>
      </c>
      <c r="N215" t="s">
        <v>465</v>
      </c>
      <c r="O215">
        <v>2018</v>
      </c>
      <c r="P215" t="s">
        <v>52</v>
      </c>
      <c r="Q215" t="s">
        <v>28</v>
      </c>
      <c r="R215" t="s">
        <v>29</v>
      </c>
    </row>
    <row r="216" spans="1:18" x14ac:dyDescent="0.35">
      <c r="A216" t="s">
        <v>635</v>
      </c>
      <c r="B216" t="s">
        <v>379</v>
      </c>
      <c r="C216" s="11" t="s">
        <v>380</v>
      </c>
      <c r="D216" t="s">
        <v>21</v>
      </c>
      <c r="E216">
        <v>49.9833</v>
      </c>
      <c r="F216">
        <v>20.433299999999999</v>
      </c>
      <c r="G216" t="s">
        <v>32</v>
      </c>
      <c r="H216" t="s">
        <v>39</v>
      </c>
      <c r="I216" t="s">
        <v>257</v>
      </c>
      <c r="J216" t="s">
        <v>95</v>
      </c>
      <c r="K216" s="15">
        <v>1</v>
      </c>
      <c r="L216">
        <v>628</v>
      </c>
      <c r="M216">
        <v>628</v>
      </c>
      <c r="N216" t="s">
        <v>26</v>
      </c>
      <c r="O216">
        <v>2018</v>
      </c>
      <c r="P216" t="s">
        <v>27</v>
      </c>
      <c r="Q216" t="s">
        <v>28</v>
      </c>
      <c r="R216" t="s">
        <v>29</v>
      </c>
    </row>
    <row r="217" spans="1:18" x14ac:dyDescent="0.35">
      <c r="A217" t="s">
        <v>635</v>
      </c>
      <c r="B217" t="s">
        <v>653</v>
      </c>
      <c r="C217" s="11" t="s">
        <v>281</v>
      </c>
      <c r="D217" t="s">
        <v>21</v>
      </c>
      <c r="E217">
        <v>52.253100000000003</v>
      </c>
      <c r="F217">
        <v>15.9178</v>
      </c>
      <c r="G217" t="s">
        <v>22</v>
      </c>
      <c r="H217" t="s">
        <v>23</v>
      </c>
      <c r="I217" t="s">
        <v>466</v>
      </c>
      <c r="J217" t="s">
        <v>95</v>
      </c>
      <c r="K217" s="15">
        <v>4</v>
      </c>
      <c r="L217">
        <v>162</v>
      </c>
      <c r="M217">
        <v>648</v>
      </c>
      <c r="N217" t="s">
        <v>26</v>
      </c>
      <c r="O217">
        <v>2018</v>
      </c>
      <c r="P217" t="s">
        <v>82</v>
      </c>
      <c r="Q217" t="s">
        <v>58</v>
      </c>
      <c r="R217" t="s">
        <v>59</v>
      </c>
    </row>
    <row r="218" spans="1:18" x14ac:dyDescent="0.35">
      <c r="A218" t="s">
        <v>635</v>
      </c>
      <c r="B218" t="s">
        <v>160</v>
      </c>
      <c r="C218" s="11" t="s">
        <v>161</v>
      </c>
      <c r="D218" t="s">
        <v>21</v>
      </c>
      <c r="E218">
        <v>53.2667</v>
      </c>
      <c r="F218">
        <v>16.466699999999999</v>
      </c>
      <c r="G218" t="s">
        <v>22</v>
      </c>
      <c r="H218" t="s">
        <v>79</v>
      </c>
      <c r="I218" t="s">
        <v>467</v>
      </c>
      <c r="J218" t="s">
        <v>95</v>
      </c>
      <c r="K218" s="15">
        <v>6</v>
      </c>
      <c r="L218">
        <v>595</v>
      </c>
      <c r="M218">
        <v>3570</v>
      </c>
      <c r="N218" t="s">
        <v>643</v>
      </c>
      <c r="O218">
        <v>2018</v>
      </c>
      <c r="P218" t="s">
        <v>63</v>
      </c>
      <c r="Q218" t="s">
        <v>28</v>
      </c>
      <c r="R218" t="s">
        <v>29</v>
      </c>
    </row>
    <row r="219" spans="1:18" x14ac:dyDescent="0.35">
      <c r="A219" t="s">
        <v>635</v>
      </c>
      <c r="B219" t="s">
        <v>468</v>
      </c>
      <c r="C219" s="11" t="s">
        <v>469</v>
      </c>
      <c r="D219" t="s">
        <v>21</v>
      </c>
      <c r="E219">
        <v>53.313699999999997</v>
      </c>
      <c r="F219">
        <v>17.937000000000001</v>
      </c>
      <c r="G219" t="s">
        <v>22</v>
      </c>
      <c r="H219" t="s">
        <v>23</v>
      </c>
      <c r="I219" t="s">
        <v>470</v>
      </c>
      <c r="J219" t="s">
        <v>86</v>
      </c>
      <c r="K219" s="15">
        <v>10</v>
      </c>
      <c r="L219">
        <v>634</v>
      </c>
      <c r="M219">
        <v>6340</v>
      </c>
      <c r="N219" t="s">
        <v>26</v>
      </c>
      <c r="O219">
        <v>2018</v>
      </c>
      <c r="P219" t="s">
        <v>87</v>
      </c>
      <c r="Q219" t="s">
        <v>42</v>
      </c>
      <c r="R219" t="s">
        <v>43</v>
      </c>
    </row>
    <row r="220" spans="1:18" x14ac:dyDescent="0.35">
      <c r="A220" t="s">
        <v>635</v>
      </c>
      <c r="B220" t="s">
        <v>471</v>
      </c>
      <c r="C220" s="11" t="s">
        <v>472</v>
      </c>
      <c r="D220" t="s">
        <v>21</v>
      </c>
      <c r="E220">
        <v>53.0167</v>
      </c>
      <c r="F220">
        <v>18.616700000000002</v>
      </c>
      <c r="G220" t="s">
        <v>32</v>
      </c>
      <c r="H220" t="s">
        <v>33</v>
      </c>
      <c r="I220" t="s">
        <v>473</v>
      </c>
      <c r="J220" t="s">
        <v>134</v>
      </c>
      <c r="K220" s="15">
        <v>12</v>
      </c>
      <c r="L220">
        <v>474</v>
      </c>
      <c r="M220">
        <v>5688</v>
      </c>
      <c r="N220" t="s">
        <v>26</v>
      </c>
      <c r="O220">
        <v>2018</v>
      </c>
      <c r="P220" t="s">
        <v>70</v>
      </c>
      <c r="Q220" t="s">
        <v>71</v>
      </c>
      <c r="R220" t="s">
        <v>72</v>
      </c>
    </row>
    <row r="221" spans="1:18" x14ac:dyDescent="0.35">
      <c r="A221" t="s">
        <v>635</v>
      </c>
      <c r="B221" t="s">
        <v>474</v>
      </c>
      <c r="C221" s="11" t="s">
        <v>475</v>
      </c>
      <c r="D221" t="s">
        <v>21</v>
      </c>
      <c r="E221">
        <v>51.939700000000002</v>
      </c>
      <c r="F221">
        <v>15.505000000000001</v>
      </c>
      <c r="G221" t="s">
        <v>22</v>
      </c>
      <c r="H221" t="s">
        <v>79</v>
      </c>
      <c r="I221" t="s">
        <v>476</v>
      </c>
      <c r="J221" t="s">
        <v>35</v>
      </c>
      <c r="K221" s="15">
        <v>20</v>
      </c>
      <c r="L221">
        <v>33</v>
      </c>
      <c r="M221">
        <v>660</v>
      </c>
      <c r="N221" t="s">
        <v>465</v>
      </c>
      <c r="O221">
        <v>2018</v>
      </c>
      <c r="P221" t="s">
        <v>76</v>
      </c>
      <c r="Q221" t="s">
        <v>42</v>
      </c>
      <c r="R221" t="s">
        <v>43</v>
      </c>
    </row>
    <row r="222" spans="1:18" x14ac:dyDescent="0.35">
      <c r="A222" t="s">
        <v>635</v>
      </c>
      <c r="B222" t="s">
        <v>160</v>
      </c>
      <c r="C222" s="11" t="s">
        <v>161</v>
      </c>
      <c r="D222" t="s">
        <v>21</v>
      </c>
      <c r="E222">
        <v>53.2667</v>
      </c>
      <c r="F222">
        <v>16.466699999999999</v>
      </c>
      <c r="G222" t="s">
        <v>22</v>
      </c>
      <c r="H222" t="s">
        <v>79</v>
      </c>
      <c r="I222" t="s">
        <v>285</v>
      </c>
      <c r="J222" t="s">
        <v>95</v>
      </c>
      <c r="K222" s="15">
        <v>6</v>
      </c>
      <c r="L222">
        <v>385</v>
      </c>
      <c r="M222">
        <v>2310</v>
      </c>
      <c r="N222" t="s">
        <v>26</v>
      </c>
      <c r="O222">
        <v>2018</v>
      </c>
      <c r="P222" t="s">
        <v>52</v>
      </c>
      <c r="Q222" t="s">
        <v>28</v>
      </c>
      <c r="R222" t="s">
        <v>29</v>
      </c>
    </row>
    <row r="223" spans="1:18" x14ac:dyDescent="0.35">
      <c r="A223" t="s">
        <v>635</v>
      </c>
      <c r="B223" t="s">
        <v>447</v>
      </c>
      <c r="C223" s="11" t="s">
        <v>448</v>
      </c>
      <c r="D223" t="s">
        <v>21</v>
      </c>
      <c r="E223">
        <v>52.339500000000001</v>
      </c>
      <c r="F223">
        <v>21.195900000000002</v>
      </c>
      <c r="G223" t="s">
        <v>22</v>
      </c>
      <c r="H223" t="s">
        <v>79</v>
      </c>
      <c r="I223" t="s">
        <v>477</v>
      </c>
      <c r="J223" t="s">
        <v>47</v>
      </c>
      <c r="K223" s="15">
        <v>2</v>
      </c>
      <c r="L223">
        <v>578</v>
      </c>
      <c r="M223">
        <v>1156</v>
      </c>
      <c r="N223" t="s">
        <v>26</v>
      </c>
      <c r="O223">
        <v>2018</v>
      </c>
      <c r="P223" t="s">
        <v>119</v>
      </c>
      <c r="Q223" t="s">
        <v>71</v>
      </c>
      <c r="R223" t="s">
        <v>72</v>
      </c>
    </row>
    <row r="224" spans="1:18" x14ac:dyDescent="0.35">
      <c r="A224" t="s">
        <v>635</v>
      </c>
      <c r="B224" t="s">
        <v>415</v>
      </c>
      <c r="C224" s="11" t="s">
        <v>416</v>
      </c>
      <c r="D224" t="s">
        <v>21</v>
      </c>
      <c r="E224">
        <v>51.787700000000001</v>
      </c>
      <c r="F224">
        <v>14.9724</v>
      </c>
      <c r="G224" t="s">
        <v>22</v>
      </c>
      <c r="H224" t="s">
        <v>23</v>
      </c>
      <c r="I224" t="s">
        <v>478</v>
      </c>
      <c r="J224" t="s">
        <v>47</v>
      </c>
      <c r="K224" s="15">
        <v>2</v>
      </c>
      <c r="L224">
        <v>621</v>
      </c>
      <c r="M224">
        <v>1242</v>
      </c>
      <c r="N224" t="s">
        <v>26</v>
      </c>
      <c r="O224">
        <v>2018</v>
      </c>
      <c r="P224" t="s">
        <v>41</v>
      </c>
      <c r="Q224" t="s">
        <v>42</v>
      </c>
      <c r="R224" t="s">
        <v>43</v>
      </c>
    </row>
    <row r="225" spans="1:18" x14ac:dyDescent="0.35">
      <c r="A225" t="s">
        <v>635</v>
      </c>
      <c r="B225" t="s">
        <v>160</v>
      </c>
      <c r="C225" s="11" t="s">
        <v>161</v>
      </c>
      <c r="D225" t="s">
        <v>21</v>
      </c>
      <c r="E225">
        <v>53.2667</v>
      </c>
      <c r="F225">
        <v>16.466699999999999</v>
      </c>
      <c r="G225" t="s">
        <v>22</v>
      </c>
      <c r="H225" t="s">
        <v>79</v>
      </c>
      <c r="I225" t="s">
        <v>479</v>
      </c>
      <c r="J225" t="s">
        <v>134</v>
      </c>
      <c r="K225" s="15">
        <v>4</v>
      </c>
      <c r="L225">
        <v>409</v>
      </c>
      <c r="M225">
        <v>1636</v>
      </c>
      <c r="N225" t="s">
        <v>660</v>
      </c>
      <c r="O225">
        <v>2018</v>
      </c>
      <c r="P225" t="s">
        <v>52</v>
      </c>
      <c r="Q225" t="s">
        <v>28</v>
      </c>
      <c r="R225" t="s">
        <v>29</v>
      </c>
    </row>
    <row r="226" spans="1:18" x14ac:dyDescent="0.35">
      <c r="A226" t="s">
        <v>635</v>
      </c>
      <c r="B226" t="s">
        <v>249</v>
      </c>
      <c r="C226" s="11" t="s">
        <v>250</v>
      </c>
      <c r="D226" t="s">
        <v>21</v>
      </c>
      <c r="E226">
        <v>52.124299999999998</v>
      </c>
      <c r="F226">
        <v>20.665400000000002</v>
      </c>
      <c r="G226" t="s">
        <v>32</v>
      </c>
      <c r="H226" t="s">
        <v>33</v>
      </c>
      <c r="I226" t="s">
        <v>480</v>
      </c>
      <c r="J226" t="s">
        <v>35</v>
      </c>
      <c r="K226" s="15">
        <v>24</v>
      </c>
      <c r="L226">
        <v>688</v>
      </c>
      <c r="M226">
        <v>16512</v>
      </c>
      <c r="N226" t="s">
        <v>26</v>
      </c>
      <c r="O226">
        <v>2018</v>
      </c>
      <c r="P226" t="s">
        <v>36</v>
      </c>
      <c r="Q226" t="s">
        <v>28</v>
      </c>
      <c r="R226" t="s">
        <v>29</v>
      </c>
    </row>
    <row r="227" spans="1:18" x14ac:dyDescent="0.35">
      <c r="A227" t="s">
        <v>635</v>
      </c>
      <c r="B227" t="s">
        <v>481</v>
      </c>
      <c r="C227" s="11" t="s">
        <v>482</v>
      </c>
      <c r="D227" t="s">
        <v>21</v>
      </c>
      <c r="E227">
        <v>51.416600000000003</v>
      </c>
      <c r="F227">
        <v>21.9694</v>
      </c>
      <c r="G227" t="s">
        <v>22</v>
      </c>
      <c r="H227" t="s">
        <v>79</v>
      </c>
      <c r="I227" t="s">
        <v>265</v>
      </c>
      <c r="J227" t="s">
        <v>134</v>
      </c>
      <c r="K227" s="15">
        <v>2</v>
      </c>
      <c r="L227">
        <v>713</v>
      </c>
      <c r="M227">
        <v>1426</v>
      </c>
      <c r="N227" t="s">
        <v>382</v>
      </c>
      <c r="O227">
        <v>2018</v>
      </c>
      <c r="P227" t="s">
        <v>87</v>
      </c>
      <c r="Q227" t="s">
        <v>42</v>
      </c>
      <c r="R227" t="s">
        <v>43</v>
      </c>
    </row>
    <row r="228" spans="1:18" x14ac:dyDescent="0.35">
      <c r="A228" t="s">
        <v>635</v>
      </c>
      <c r="B228" t="s">
        <v>483</v>
      </c>
      <c r="C228" s="11" t="s">
        <v>484</v>
      </c>
      <c r="D228" t="s">
        <v>21</v>
      </c>
      <c r="E228">
        <v>54.006999999999998</v>
      </c>
      <c r="F228">
        <v>15.987500000000001</v>
      </c>
      <c r="G228" t="s">
        <v>22</v>
      </c>
      <c r="H228" t="s">
        <v>23</v>
      </c>
      <c r="I228" t="s">
        <v>485</v>
      </c>
      <c r="J228" t="s">
        <v>25</v>
      </c>
      <c r="K228" s="15">
        <v>4</v>
      </c>
      <c r="L228">
        <v>404</v>
      </c>
      <c r="M228">
        <v>1616</v>
      </c>
      <c r="N228" t="s">
        <v>26</v>
      </c>
      <c r="O228">
        <v>2018</v>
      </c>
      <c r="P228" t="s">
        <v>115</v>
      </c>
      <c r="Q228" t="s">
        <v>58</v>
      </c>
      <c r="R228" t="s">
        <v>59</v>
      </c>
    </row>
    <row r="229" spans="1:18" x14ac:dyDescent="0.35">
      <c r="A229" t="s">
        <v>635</v>
      </c>
      <c r="B229" t="s">
        <v>163</v>
      </c>
      <c r="C229" s="11" t="s">
        <v>164</v>
      </c>
      <c r="D229" t="s">
        <v>674</v>
      </c>
      <c r="E229">
        <v>49.882100000000001</v>
      </c>
      <c r="F229">
        <v>19.223299999999998</v>
      </c>
      <c r="G229" t="s">
        <v>32</v>
      </c>
      <c r="H229" t="s">
        <v>39</v>
      </c>
      <c r="I229" t="s">
        <v>395</v>
      </c>
      <c r="J229" t="s">
        <v>35</v>
      </c>
      <c r="K229" s="15">
        <v>1</v>
      </c>
      <c r="L229">
        <v>400</v>
      </c>
      <c r="M229">
        <v>400</v>
      </c>
      <c r="N229" t="s">
        <v>144</v>
      </c>
      <c r="O229">
        <v>2018</v>
      </c>
      <c r="P229" t="s">
        <v>87</v>
      </c>
      <c r="Q229" t="s">
        <v>42</v>
      </c>
      <c r="R229" t="s">
        <v>43</v>
      </c>
    </row>
    <row r="230" spans="1:18" x14ac:dyDescent="0.35">
      <c r="A230" t="s">
        <v>635</v>
      </c>
      <c r="B230" t="s">
        <v>163</v>
      </c>
      <c r="C230" s="11" t="s">
        <v>164</v>
      </c>
      <c r="D230" t="s">
        <v>21</v>
      </c>
      <c r="E230">
        <v>49.882100000000001</v>
      </c>
      <c r="F230">
        <v>19.223299999999998</v>
      </c>
      <c r="G230" t="s">
        <v>32</v>
      </c>
      <c r="H230" t="s">
        <v>39</v>
      </c>
      <c r="I230" t="s">
        <v>486</v>
      </c>
      <c r="J230" t="s">
        <v>95</v>
      </c>
      <c r="K230" s="15">
        <v>2</v>
      </c>
      <c r="L230">
        <v>585</v>
      </c>
      <c r="M230">
        <v>1170</v>
      </c>
      <c r="N230" t="s">
        <v>26</v>
      </c>
      <c r="O230">
        <v>2018</v>
      </c>
      <c r="P230" t="s">
        <v>41</v>
      </c>
      <c r="Q230" t="s">
        <v>42</v>
      </c>
      <c r="R230" t="s">
        <v>43</v>
      </c>
    </row>
    <row r="231" spans="1:18" x14ac:dyDescent="0.35">
      <c r="A231" t="s">
        <v>635</v>
      </c>
      <c r="B231" t="s">
        <v>654</v>
      </c>
      <c r="C231" s="11" t="s">
        <v>287</v>
      </c>
      <c r="D231" t="s">
        <v>21</v>
      </c>
      <c r="E231">
        <v>50.297600000000003</v>
      </c>
      <c r="F231">
        <v>18.676600000000001</v>
      </c>
      <c r="G231" t="s">
        <v>32</v>
      </c>
      <c r="H231" t="s">
        <v>33</v>
      </c>
      <c r="I231" t="s">
        <v>40</v>
      </c>
      <c r="J231" t="s">
        <v>35</v>
      </c>
      <c r="K231" s="15">
        <v>5</v>
      </c>
      <c r="L231">
        <v>66</v>
      </c>
      <c r="M231">
        <v>330</v>
      </c>
      <c r="N231" t="s">
        <v>26</v>
      </c>
      <c r="O231">
        <v>2018</v>
      </c>
      <c r="P231" t="s">
        <v>36</v>
      </c>
      <c r="Q231" t="s">
        <v>28</v>
      </c>
      <c r="R231" t="s">
        <v>29</v>
      </c>
    </row>
    <row r="232" spans="1:18" x14ac:dyDescent="0.35">
      <c r="A232" t="s">
        <v>635</v>
      </c>
      <c r="B232" t="s">
        <v>487</v>
      </c>
      <c r="C232" s="11" t="s">
        <v>488</v>
      </c>
      <c r="D232" t="s">
        <v>21</v>
      </c>
      <c r="E232">
        <v>50.283299999999997</v>
      </c>
      <c r="F232">
        <v>21.433299999999999</v>
      </c>
      <c r="G232" t="s">
        <v>22</v>
      </c>
      <c r="H232" t="s">
        <v>23</v>
      </c>
      <c r="I232" t="s">
        <v>435</v>
      </c>
      <c r="J232" t="s">
        <v>86</v>
      </c>
      <c r="K232" s="15">
        <v>10</v>
      </c>
      <c r="L232">
        <v>742</v>
      </c>
      <c r="M232">
        <v>7420</v>
      </c>
      <c r="N232" t="s">
        <v>26</v>
      </c>
      <c r="O232">
        <v>2018</v>
      </c>
      <c r="P232" t="s">
        <v>119</v>
      </c>
      <c r="Q232" t="s">
        <v>71</v>
      </c>
      <c r="R232" t="s">
        <v>72</v>
      </c>
    </row>
    <row r="233" spans="1:18" x14ac:dyDescent="0.35">
      <c r="A233" t="s">
        <v>635</v>
      </c>
      <c r="B233" t="s">
        <v>337</v>
      </c>
      <c r="C233" s="11" t="s">
        <v>338</v>
      </c>
      <c r="D233" t="s">
        <v>21</v>
      </c>
      <c r="E233">
        <v>51.152799999999999</v>
      </c>
      <c r="F233">
        <v>15</v>
      </c>
      <c r="G233" t="s">
        <v>32</v>
      </c>
      <c r="H233" t="s">
        <v>39</v>
      </c>
      <c r="I233" t="s">
        <v>489</v>
      </c>
      <c r="J233" t="s">
        <v>95</v>
      </c>
      <c r="K233" s="15">
        <v>20</v>
      </c>
      <c r="L233">
        <v>726</v>
      </c>
      <c r="M233">
        <v>14520</v>
      </c>
      <c r="N233" t="s">
        <v>26</v>
      </c>
      <c r="O233">
        <v>2018</v>
      </c>
      <c r="P233" t="s">
        <v>63</v>
      </c>
      <c r="Q233" t="s">
        <v>28</v>
      </c>
      <c r="R233" t="s">
        <v>29</v>
      </c>
    </row>
    <row r="234" spans="1:18" x14ac:dyDescent="0.35">
      <c r="A234" t="s">
        <v>635</v>
      </c>
      <c r="B234" t="s">
        <v>166</v>
      </c>
      <c r="C234" s="11" t="s">
        <v>167</v>
      </c>
      <c r="D234" t="s">
        <v>21</v>
      </c>
      <c r="E234">
        <v>50.8</v>
      </c>
      <c r="F234">
        <v>19.116700000000002</v>
      </c>
      <c r="G234" t="s">
        <v>32</v>
      </c>
      <c r="H234" t="s">
        <v>33</v>
      </c>
      <c r="I234" t="s">
        <v>490</v>
      </c>
      <c r="J234" t="s">
        <v>95</v>
      </c>
      <c r="K234" s="15">
        <v>5</v>
      </c>
      <c r="L234">
        <v>490</v>
      </c>
      <c r="M234">
        <v>2450</v>
      </c>
      <c r="N234" t="s">
        <v>26</v>
      </c>
      <c r="O234">
        <v>2018</v>
      </c>
      <c r="P234" t="s">
        <v>105</v>
      </c>
      <c r="Q234" t="s">
        <v>71</v>
      </c>
      <c r="R234" t="s">
        <v>72</v>
      </c>
    </row>
    <row r="235" spans="1:18" x14ac:dyDescent="0.35">
      <c r="A235" t="s">
        <v>635</v>
      </c>
      <c r="B235" t="s">
        <v>491</v>
      </c>
      <c r="C235" s="11" t="s">
        <v>492</v>
      </c>
      <c r="D235" t="s">
        <v>21</v>
      </c>
      <c r="E235">
        <v>54.028500000000001</v>
      </c>
      <c r="F235">
        <v>19.0444</v>
      </c>
      <c r="G235" t="s">
        <v>22</v>
      </c>
      <c r="H235" t="s">
        <v>23</v>
      </c>
      <c r="I235" t="s">
        <v>493</v>
      </c>
      <c r="J235" t="s">
        <v>134</v>
      </c>
      <c r="K235" s="15">
        <v>15</v>
      </c>
      <c r="L235">
        <v>516</v>
      </c>
      <c r="M235">
        <v>7740</v>
      </c>
      <c r="N235" t="s">
        <v>26</v>
      </c>
      <c r="O235">
        <v>2018</v>
      </c>
      <c r="P235" t="s">
        <v>57</v>
      </c>
      <c r="Q235" t="s">
        <v>58</v>
      </c>
      <c r="R235" t="s">
        <v>59</v>
      </c>
    </row>
    <row r="236" spans="1:18" x14ac:dyDescent="0.35">
      <c r="A236" t="s">
        <v>635</v>
      </c>
      <c r="B236" t="s">
        <v>487</v>
      </c>
      <c r="C236" s="11" t="s">
        <v>488</v>
      </c>
      <c r="D236" t="s">
        <v>675</v>
      </c>
      <c r="E236">
        <v>50.283299999999997</v>
      </c>
      <c r="F236">
        <v>21.433299999999999</v>
      </c>
      <c r="G236" t="s">
        <v>22</v>
      </c>
      <c r="H236" t="s">
        <v>23</v>
      </c>
      <c r="I236" t="s">
        <v>377</v>
      </c>
      <c r="J236" t="s">
        <v>95</v>
      </c>
      <c r="K236" s="15">
        <v>4</v>
      </c>
      <c r="L236">
        <v>141</v>
      </c>
      <c r="M236">
        <v>564</v>
      </c>
      <c r="N236" t="s">
        <v>26</v>
      </c>
      <c r="O236">
        <v>2018</v>
      </c>
      <c r="P236" t="s">
        <v>52</v>
      </c>
      <c r="Q236" t="s">
        <v>28</v>
      </c>
      <c r="R236" t="s">
        <v>29</v>
      </c>
    </row>
    <row r="237" spans="1:18" x14ac:dyDescent="0.35">
      <c r="A237" t="s">
        <v>635</v>
      </c>
      <c r="B237" t="s">
        <v>666</v>
      </c>
      <c r="C237" s="11" t="s">
        <v>366</v>
      </c>
      <c r="D237" t="s">
        <v>21</v>
      </c>
      <c r="E237">
        <v>49.5625</v>
      </c>
      <c r="F237">
        <v>20.636399999999998</v>
      </c>
      <c r="G237" t="s">
        <v>22</v>
      </c>
      <c r="H237" t="s">
        <v>23</v>
      </c>
      <c r="I237" t="s">
        <v>244</v>
      </c>
      <c r="J237" t="s">
        <v>35</v>
      </c>
      <c r="K237" s="15">
        <v>6</v>
      </c>
      <c r="L237">
        <v>497</v>
      </c>
      <c r="M237">
        <v>2982</v>
      </c>
      <c r="N237" t="s">
        <v>26</v>
      </c>
      <c r="O237">
        <v>2018</v>
      </c>
      <c r="P237" t="s">
        <v>87</v>
      </c>
      <c r="Q237" t="s">
        <v>42</v>
      </c>
      <c r="R237" t="s">
        <v>43</v>
      </c>
    </row>
    <row r="238" spans="1:18" x14ac:dyDescent="0.35">
      <c r="A238" t="s">
        <v>635</v>
      </c>
      <c r="B238" t="s">
        <v>92</v>
      </c>
      <c r="C238" s="11" t="s">
        <v>93</v>
      </c>
      <c r="D238" t="s">
        <v>21</v>
      </c>
      <c r="E238">
        <v>54.366700000000002</v>
      </c>
      <c r="F238">
        <v>18.633299999999998</v>
      </c>
      <c r="G238" t="s">
        <v>32</v>
      </c>
      <c r="H238" t="s">
        <v>33</v>
      </c>
      <c r="I238" t="s">
        <v>494</v>
      </c>
      <c r="J238" t="s">
        <v>86</v>
      </c>
      <c r="K238" s="15">
        <v>13</v>
      </c>
      <c r="L238">
        <v>469</v>
      </c>
      <c r="M238">
        <v>6097</v>
      </c>
      <c r="N238" t="s">
        <v>26</v>
      </c>
      <c r="O238">
        <v>2018</v>
      </c>
      <c r="P238" t="s">
        <v>115</v>
      </c>
      <c r="Q238" t="s">
        <v>58</v>
      </c>
      <c r="R238" t="s">
        <v>59</v>
      </c>
    </row>
    <row r="239" spans="1:18" x14ac:dyDescent="0.35">
      <c r="A239" t="s">
        <v>635</v>
      </c>
      <c r="B239" t="s">
        <v>495</v>
      </c>
      <c r="C239" s="11" t="s">
        <v>496</v>
      </c>
      <c r="D239" t="s">
        <v>21</v>
      </c>
      <c r="E239">
        <v>49.989400000000003</v>
      </c>
      <c r="F239">
        <v>20.066099999999999</v>
      </c>
      <c r="G239" t="s">
        <v>32</v>
      </c>
      <c r="H239" t="s">
        <v>39</v>
      </c>
      <c r="I239" t="s">
        <v>497</v>
      </c>
      <c r="J239" t="s">
        <v>134</v>
      </c>
      <c r="K239" s="15">
        <v>3</v>
      </c>
      <c r="L239">
        <v>262</v>
      </c>
      <c r="M239">
        <v>786</v>
      </c>
      <c r="N239" t="s">
        <v>26</v>
      </c>
      <c r="O239">
        <v>2018</v>
      </c>
      <c r="P239" t="s">
        <v>70</v>
      </c>
      <c r="Q239" t="s">
        <v>71</v>
      </c>
      <c r="R239" t="s">
        <v>72</v>
      </c>
    </row>
    <row r="240" spans="1:18" x14ac:dyDescent="0.35">
      <c r="A240" t="s">
        <v>635</v>
      </c>
      <c r="B240" t="s">
        <v>657</v>
      </c>
      <c r="C240" s="11" t="s">
        <v>306</v>
      </c>
      <c r="D240" t="s">
        <v>675</v>
      </c>
      <c r="E240">
        <v>50.6</v>
      </c>
      <c r="F240">
        <v>17.0444</v>
      </c>
      <c r="G240" t="s">
        <v>22</v>
      </c>
      <c r="H240" t="s">
        <v>79</v>
      </c>
      <c r="I240" t="s">
        <v>498</v>
      </c>
      <c r="J240" t="s">
        <v>47</v>
      </c>
      <c r="K240" s="15">
        <v>30</v>
      </c>
      <c r="L240">
        <v>64</v>
      </c>
      <c r="M240">
        <v>1920</v>
      </c>
      <c r="N240" t="s">
        <v>144</v>
      </c>
      <c r="O240">
        <v>2018</v>
      </c>
      <c r="P240" t="s">
        <v>105</v>
      </c>
      <c r="Q240" t="s">
        <v>71</v>
      </c>
      <c r="R240" t="s">
        <v>72</v>
      </c>
    </row>
    <row r="241" spans="1:18" x14ac:dyDescent="0.35">
      <c r="A241" t="s">
        <v>635</v>
      </c>
      <c r="B241" t="s">
        <v>311</v>
      </c>
      <c r="C241" s="11" t="s">
        <v>312</v>
      </c>
      <c r="D241" t="s">
        <v>21</v>
      </c>
      <c r="E241">
        <v>49.784999999999997</v>
      </c>
      <c r="F241">
        <v>22.767299999999999</v>
      </c>
      <c r="G241" t="s">
        <v>32</v>
      </c>
      <c r="H241" t="s">
        <v>39</v>
      </c>
      <c r="I241" t="s">
        <v>499</v>
      </c>
      <c r="J241" t="s">
        <v>86</v>
      </c>
      <c r="K241" s="15">
        <v>2</v>
      </c>
      <c r="L241">
        <v>518</v>
      </c>
      <c r="M241">
        <v>1036</v>
      </c>
      <c r="N241" t="s">
        <v>26</v>
      </c>
      <c r="O241">
        <v>2018</v>
      </c>
      <c r="P241" t="s">
        <v>119</v>
      </c>
      <c r="Q241" t="s">
        <v>71</v>
      </c>
      <c r="R241" t="s">
        <v>72</v>
      </c>
    </row>
    <row r="242" spans="1:18" x14ac:dyDescent="0.35">
      <c r="A242" t="s">
        <v>635</v>
      </c>
      <c r="B242" t="s">
        <v>157</v>
      </c>
      <c r="C242" s="11" t="s">
        <v>158</v>
      </c>
      <c r="D242" t="s">
        <v>21</v>
      </c>
      <c r="E242">
        <v>49.822499999999998</v>
      </c>
      <c r="F242">
        <v>19.0444</v>
      </c>
      <c r="G242" t="s">
        <v>32</v>
      </c>
      <c r="H242" t="s">
        <v>39</v>
      </c>
      <c r="I242" t="s">
        <v>493</v>
      </c>
      <c r="J242" t="s">
        <v>134</v>
      </c>
      <c r="K242" s="15">
        <v>5</v>
      </c>
      <c r="L242">
        <v>516</v>
      </c>
      <c r="M242">
        <v>2580</v>
      </c>
      <c r="N242" t="s">
        <v>26</v>
      </c>
      <c r="O242">
        <v>2018</v>
      </c>
      <c r="P242" t="s">
        <v>82</v>
      </c>
      <c r="Q242" t="s">
        <v>58</v>
      </c>
      <c r="R242" t="s">
        <v>59</v>
      </c>
    </row>
    <row r="243" spans="1:18" x14ac:dyDescent="0.35">
      <c r="A243" t="s">
        <v>635</v>
      </c>
      <c r="B243" t="s">
        <v>208</v>
      </c>
      <c r="C243" s="11" t="s">
        <v>209</v>
      </c>
      <c r="D243" t="s">
        <v>21</v>
      </c>
      <c r="E243">
        <v>53.916699999999999</v>
      </c>
      <c r="F243">
        <v>14.25</v>
      </c>
      <c r="G243" t="s">
        <v>22</v>
      </c>
      <c r="H243" t="s">
        <v>79</v>
      </c>
      <c r="I243" t="s">
        <v>454</v>
      </c>
      <c r="J243" t="s">
        <v>95</v>
      </c>
      <c r="K243" s="15">
        <v>5</v>
      </c>
      <c r="L243">
        <v>438</v>
      </c>
      <c r="M243">
        <v>2190</v>
      </c>
      <c r="N243" t="s">
        <v>668</v>
      </c>
      <c r="O243">
        <v>2018</v>
      </c>
      <c r="P243" t="s">
        <v>87</v>
      </c>
      <c r="Q243" t="s">
        <v>42</v>
      </c>
      <c r="R243" t="s">
        <v>43</v>
      </c>
    </row>
    <row r="244" spans="1:18" x14ac:dyDescent="0.35">
      <c r="A244" t="s">
        <v>635</v>
      </c>
      <c r="B244" t="s">
        <v>500</v>
      </c>
      <c r="C244" s="11" t="s">
        <v>501</v>
      </c>
      <c r="D244" t="s">
        <v>21</v>
      </c>
      <c r="E244">
        <v>51.697000000000003</v>
      </c>
      <c r="F244">
        <v>17.435700000000001</v>
      </c>
      <c r="G244" t="s">
        <v>32</v>
      </c>
      <c r="H244" t="s">
        <v>33</v>
      </c>
      <c r="I244" t="s">
        <v>237</v>
      </c>
      <c r="J244" t="s">
        <v>25</v>
      </c>
      <c r="K244" s="15">
        <v>2</v>
      </c>
      <c r="L244">
        <v>201</v>
      </c>
      <c r="M244">
        <v>402</v>
      </c>
      <c r="N244" t="s">
        <v>26</v>
      </c>
      <c r="O244">
        <v>2018</v>
      </c>
      <c r="P244" t="s">
        <v>105</v>
      </c>
      <c r="Q244" t="s">
        <v>71</v>
      </c>
      <c r="R244" t="s">
        <v>72</v>
      </c>
    </row>
    <row r="245" spans="1:18" x14ac:dyDescent="0.35">
      <c r="A245" t="s">
        <v>635</v>
      </c>
      <c r="B245" t="s">
        <v>393</v>
      </c>
      <c r="C245" s="11" t="s">
        <v>394</v>
      </c>
      <c r="D245" t="s">
        <v>21</v>
      </c>
      <c r="E245">
        <v>50.059100000000001</v>
      </c>
      <c r="F245">
        <v>22.4941</v>
      </c>
      <c r="G245" t="s">
        <v>32</v>
      </c>
      <c r="H245" t="s">
        <v>39</v>
      </c>
      <c r="I245" t="s">
        <v>237</v>
      </c>
      <c r="J245" t="s">
        <v>25</v>
      </c>
      <c r="K245" s="15">
        <v>2</v>
      </c>
      <c r="L245">
        <v>201</v>
      </c>
      <c r="M245">
        <v>402</v>
      </c>
      <c r="N245" t="s">
        <v>350</v>
      </c>
      <c r="O245">
        <v>2018</v>
      </c>
      <c r="P245" t="s">
        <v>76</v>
      </c>
      <c r="Q245" t="s">
        <v>42</v>
      </c>
      <c r="R245" t="s">
        <v>43</v>
      </c>
    </row>
    <row r="246" spans="1:18" x14ac:dyDescent="0.35">
      <c r="A246" t="s">
        <v>635</v>
      </c>
      <c r="B246" t="s">
        <v>502</v>
      </c>
      <c r="C246" s="11" t="s">
        <v>503</v>
      </c>
      <c r="D246" t="s">
        <v>21</v>
      </c>
      <c r="E246">
        <v>54.190300000000001</v>
      </c>
      <c r="F246">
        <v>16.181699999999999</v>
      </c>
      <c r="G246" t="s">
        <v>22</v>
      </c>
      <c r="H246" t="s">
        <v>23</v>
      </c>
      <c r="I246" t="s">
        <v>125</v>
      </c>
      <c r="J246" t="s">
        <v>35</v>
      </c>
      <c r="K246" s="15">
        <v>30</v>
      </c>
      <c r="L246">
        <v>215</v>
      </c>
      <c r="N246" t="s">
        <v>26</v>
      </c>
      <c r="O246">
        <v>2018</v>
      </c>
      <c r="P246" t="s">
        <v>70</v>
      </c>
      <c r="Q246" t="s">
        <v>71</v>
      </c>
      <c r="R246" t="s">
        <v>72</v>
      </c>
    </row>
    <row r="247" spans="1:18" x14ac:dyDescent="0.35">
      <c r="A247" t="s">
        <v>635</v>
      </c>
      <c r="B247" t="s">
        <v>249</v>
      </c>
      <c r="C247" s="11" t="s">
        <v>250</v>
      </c>
      <c r="D247" t="s">
        <v>21</v>
      </c>
      <c r="E247">
        <v>52.124299999999998</v>
      </c>
      <c r="F247">
        <v>20.665400000000002</v>
      </c>
      <c r="G247" t="s">
        <v>32</v>
      </c>
      <c r="H247" t="s">
        <v>33</v>
      </c>
      <c r="I247" t="s">
        <v>251</v>
      </c>
      <c r="J247" t="s">
        <v>47</v>
      </c>
      <c r="K247" s="15">
        <v>2</v>
      </c>
      <c r="L247">
        <v>624</v>
      </c>
      <c r="M247">
        <v>1248</v>
      </c>
      <c r="N247" t="s">
        <v>676</v>
      </c>
      <c r="O247">
        <v>2018</v>
      </c>
      <c r="P247" t="s">
        <v>115</v>
      </c>
      <c r="Q247" t="s">
        <v>58</v>
      </c>
      <c r="R247" t="s">
        <v>59</v>
      </c>
    </row>
    <row r="248" spans="1:18" x14ac:dyDescent="0.35">
      <c r="A248" t="s">
        <v>635</v>
      </c>
      <c r="B248" t="s">
        <v>639</v>
      </c>
      <c r="C248" s="11" t="s">
        <v>61</v>
      </c>
      <c r="D248" t="s">
        <v>677</v>
      </c>
      <c r="E248">
        <v>52.7958</v>
      </c>
      <c r="F248">
        <v>18.261099999999999</v>
      </c>
      <c r="G248" t="s">
        <v>32</v>
      </c>
      <c r="H248" t="s">
        <v>33</v>
      </c>
      <c r="I248" t="s">
        <v>401</v>
      </c>
      <c r="J248" t="s">
        <v>47</v>
      </c>
      <c r="K248" s="15">
        <v>5</v>
      </c>
      <c r="L248">
        <v>113</v>
      </c>
      <c r="M248">
        <v>565</v>
      </c>
      <c r="N248" t="s">
        <v>26</v>
      </c>
      <c r="O248">
        <v>2018</v>
      </c>
      <c r="P248" t="s">
        <v>52</v>
      </c>
      <c r="Q248" t="s">
        <v>28</v>
      </c>
      <c r="R248" t="s">
        <v>29</v>
      </c>
    </row>
    <row r="249" spans="1:18" x14ac:dyDescent="0.35">
      <c r="A249" t="s">
        <v>635</v>
      </c>
      <c r="B249" t="s">
        <v>504</v>
      </c>
      <c r="C249" s="11" t="s">
        <v>505</v>
      </c>
      <c r="D249" t="s">
        <v>21</v>
      </c>
      <c r="E249">
        <v>51.466700000000003</v>
      </c>
      <c r="F249">
        <v>22.6</v>
      </c>
      <c r="G249" t="s">
        <v>32</v>
      </c>
      <c r="H249" t="s">
        <v>39</v>
      </c>
      <c r="I249" t="s">
        <v>506</v>
      </c>
      <c r="J249" t="s">
        <v>25</v>
      </c>
      <c r="K249" s="15">
        <v>3</v>
      </c>
      <c r="L249">
        <v>542</v>
      </c>
      <c r="M249">
        <v>1626</v>
      </c>
      <c r="N249" t="s">
        <v>26</v>
      </c>
      <c r="O249">
        <v>2018</v>
      </c>
      <c r="P249" t="s">
        <v>36</v>
      </c>
      <c r="Q249" t="s">
        <v>28</v>
      </c>
      <c r="R249" t="s">
        <v>29</v>
      </c>
    </row>
    <row r="250" spans="1:18" x14ac:dyDescent="0.35">
      <c r="A250" t="s">
        <v>635</v>
      </c>
      <c r="B250" t="s">
        <v>409</v>
      </c>
      <c r="C250" s="11" t="s">
        <v>410</v>
      </c>
      <c r="D250" t="s">
        <v>21</v>
      </c>
      <c r="E250">
        <v>53.735799999999998</v>
      </c>
      <c r="F250">
        <v>18.930800000000001</v>
      </c>
      <c r="G250" t="s">
        <v>32</v>
      </c>
      <c r="H250" t="s">
        <v>39</v>
      </c>
      <c r="I250" t="s">
        <v>128</v>
      </c>
      <c r="J250" t="s">
        <v>86</v>
      </c>
      <c r="K250" s="15">
        <v>4</v>
      </c>
      <c r="L250">
        <v>689</v>
      </c>
      <c r="M250">
        <v>2756</v>
      </c>
      <c r="N250" t="s">
        <v>177</v>
      </c>
      <c r="O250">
        <v>2018</v>
      </c>
      <c r="P250" t="s">
        <v>82</v>
      </c>
      <c r="Q250" t="s">
        <v>58</v>
      </c>
      <c r="R250" t="s">
        <v>59</v>
      </c>
    </row>
    <row r="251" spans="1:18" x14ac:dyDescent="0.35">
      <c r="A251" t="s">
        <v>635</v>
      </c>
      <c r="B251" t="s">
        <v>507</v>
      </c>
      <c r="C251" s="11" t="s">
        <v>508</v>
      </c>
      <c r="D251" t="s">
        <v>21</v>
      </c>
      <c r="E251">
        <v>54.050400000000003</v>
      </c>
      <c r="F251">
        <v>21.145800000000001</v>
      </c>
      <c r="G251" t="s">
        <v>22</v>
      </c>
      <c r="H251" t="s">
        <v>79</v>
      </c>
      <c r="I251" t="s">
        <v>509</v>
      </c>
      <c r="J251" t="s">
        <v>47</v>
      </c>
      <c r="K251" s="15">
        <v>5</v>
      </c>
      <c r="L251">
        <v>345</v>
      </c>
      <c r="M251">
        <v>1725</v>
      </c>
      <c r="N251" t="s">
        <v>26</v>
      </c>
      <c r="O251">
        <v>2018</v>
      </c>
      <c r="P251" t="s">
        <v>87</v>
      </c>
      <c r="Q251" t="s">
        <v>42</v>
      </c>
      <c r="R251" t="s">
        <v>43</v>
      </c>
    </row>
    <row r="252" spans="1:18" x14ac:dyDescent="0.35">
      <c r="A252" t="s">
        <v>635</v>
      </c>
      <c r="B252" t="s">
        <v>295</v>
      </c>
      <c r="C252" s="11" t="s">
        <v>296</v>
      </c>
      <c r="D252" t="s">
        <v>21</v>
      </c>
      <c r="E252">
        <v>50.313099999999999</v>
      </c>
      <c r="F252">
        <v>17.374199999999998</v>
      </c>
      <c r="G252" t="s">
        <v>22</v>
      </c>
      <c r="H252" t="s">
        <v>79</v>
      </c>
      <c r="I252" t="s">
        <v>510</v>
      </c>
      <c r="J252" t="s">
        <v>35</v>
      </c>
      <c r="K252" s="15">
        <v>60</v>
      </c>
      <c r="L252">
        <v>153</v>
      </c>
      <c r="M252">
        <v>9180</v>
      </c>
      <c r="N252" t="s">
        <v>26</v>
      </c>
      <c r="O252">
        <v>2018</v>
      </c>
      <c r="P252" t="s">
        <v>76</v>
      </c>
      <c r="Q252" t="s">
        <v>42</v>
      </c>
      <c r="R252" t="s">
        <v>43</v>
      </c>
    </row>
    <row r="253" spans="1:18" x14ac:dyDescent="0.35">
      <c r="A253" t="s">
        <v>635</v>
      </c>
      <c r="B253" t="s">
        <v>495</v>
      </c>
      <c r="C253" s="11" t="s">
        <v>496</v>
      </c>
      <c r="D253" t="s">
        <v>21</v>
      </c>
      <c r="E253">
        <v>49.989400000000003</v>
      </c>
      <c r="F253">
        <v>20.066099999999999</v>
      </c>
      <c r="G253" t="s">
        <v>32</v>
      </c>
      <c r="H253" t="s">
        <v>39</v>
      </c>
      <c r="I253" t="s">
        <v>511</v>
      </c>
      <c r="J253" t="s">
        <v>134</v>
      </c>
      <c r="K253" s="15">
        <v>2</v>
      </c>
      <c r="L253">
        <v>710</v>
      </c>
      <c r="M253">
        <v>1420</v>
      </c>
      <c r="N253" t="s">
        <v>26</v>
      </c>
      <c r="O253">
        <v>2018</v>
      </c>
      <c r="P253" t="s">
        <v>52</v>
      </c>
      <c r="Q253" t="s">
        <v>28</v>
      </c>
      <c r="R253" t="s">
        <v>29</v>
      </c>
    </row>
    <row r="254" spans="1:18" x14ac:dyDescent="0.35">
      <c r="A254" t="s">
        <v>635</v>
      </c>
      <c r="B254" t="s">
        <v>512</v>
      </c>
      <c r="C254" s="11" t="s">
        <v>513</v>
      </c>
      <c r="D254" t="s">
        <v>21</v>
      </c>
      <c r="E254">
        <v>54</v>
      </c>
      <c r="F254">
        <v>16.9833</v>
      </c>
      <c r="G254" t="s">
        <v>22</v>
      </c>
      <c r="H254" t="s">
        <v>23</v>
      </c>
      <c r="I254" t="s">
        <v>140</v>
      </c>
      <c r="J254" t="s">
        <v>134</v>
      </c>
      <c r="K254" s="15">
        <v>4</v>
      </c>
      <c r="L254">
        <v>511</v>
      </c>
      <c r="M254">
        <v>2044</v>
      </c>
      <c r="N254" t="s">
        <v>26</v>
      </c>
      <c r="O254">
        <v>2018</v>
      </c>
      <c r="P254" t="s">
        <v>36</v>
      </c>
      <c r="Q254" t="s">
        <v>28</v>
      </c>
      <c r="R254" t="s">
        <v>29</v>
      </c>
    </row>
    <row r="255" spans="1:18" x14ac:dyDescent="0.35">
      <c r="A255" t="s">
        <v>635</v>
      </c>
      <c r="B255" t="s">
        <v>653</v>
      </c>
      <c r="C255" s="11" t="s">
        <v>281</v>
      </c>
      <c r="D255" t="s">
        <v>21</v>
      </c>
      <c r="E255">
        <v>52.253100000000003</v>
      </c>
      <c r="F255">
        <v>15.9178</v>
      </c>
      <c r="G255" t="s">
        <v>22</v>
      </c>
      <c r="H255" t="s">
        <v>23</v>
      </c>
      <c r="I255" t="s">
        <v>514</v>
      </c>
      <c r="J255" t="s">
        <v>134</v>
      </c>
      <c r="K255" s="15">
        <v>3</v>
      </c>
      <c r="L255">
        <v>74</v>
      </c>
      <c r="N255" t="s">
        <v>26</v>
      </c>
      <c r="O255">
        <v>2018</v>
      </c>
      <c r="P255" t="s">
        <v>27</v>
      </c>
      <c r="Q255" t="s">
        <v>28</v>
      </c>
      <c r="R255" t="s">
        <v>29</v>
      </c>
    </row>
    <row r="256" spans="1:18" x14ac:dyDescent="0.35">
      <c r="A256" t="s">
        <v>635</v>
      </c>
      <c r="B256" t="s">
        <v>300</v>
      </c>
      <c r="C256" s="11" t="s">
        <v>301</v>
      </c>
      <c r="D256" t="s">
        <v>21</v>
      </c>
      <c r="E256">
        <v>53.816699999999997</v>
      </c>
      <c r="F256">
        <v>22.35</v>
      </c>
      <c r="G256" t="s">
        <v>32</v>
      </c>
      <c r="H256" t="s">
        <v>33</v>
      </c>
      <c r="I256" t="s">
        <v>414</v>
      </c>
      <c r="J256" t="s">
        <v>47</v>
      </c>
      <c r="K256" s="15">
        <v>4</v>
      </c>
      <c r="L256">
        <v>445</v>
      </c>
      <c r="M256">
        <v>1780</v>
      </c>
      <c r="N256" t="s">
        <v>678</v>
      </c>
      <c r="O256">
        <v>2018</v>
      </c>
      <c r="P256" t="s">
        <v>70</v>
      </c>
      <c r="Q256" t="s">
        <v>71</v>
      </c>
      <c r="R256" t="s">
        <v>72</v>
      </c>
    </row>
    <row r="257" spans="1:18" x14ac:dyDescent="0.35">
      <c r="A257" t="s">
        <v>635</v>
      </c>
      <c r="B257" t="s">
        <v>393</v>
      </c>
      <c r="C257" s="11" t="s">
        <v>394</v>
      </c>
      <c r="D257" t="s">
        <v>21</v>
      </c>
      <c r="E257">
        <v>50.059100000000001</v>
      </c>
      <c r="F257">
        <v>22.4941</v>
      </c>
      <c r="G257" t="s">
        <v>32</v>
      </c>
      <c r="H257" t="s">
        <v>39</v>
      </c>
      <c r="I257" t="s">
        <v>515</v>
      </c>
      <c r="J257" t="s">
        <v>134</v>
      </c>
      <c r="K257" s="15">
        <v>2</v>
      </c>
      <c r="L257">
        <v>705</v>
      </c>
      <c r="M257">
        <v>1410</v>
      </c>
      <c r="N257" t="s">
        <v>185</v>
      </c>
      <c r="O257">
        <v>2018</v>
      </c>
      <c r="P257" t="s">
        <v>82</v>
      </c>
      <c r="Q257" t="s">
        <v>58</v>
      </c>
      <c r="R257" t="s">
        <v>59</v>
      </c>
    </row>
    <row r="258" spans="1:18" x14ac:dyDescent="0.35">
      <c r="A258" t="s">
        <v>635</v>
      </c>
      <c r="B258" t="s">
        <v>491</v>
      </c>
      <c r="C258" s="11" t="s">
        <v>492</v>
      </c>
      <c r="D258" t="s">
        <v>21</v>
      </c>
      <c r="E258">
        <v>54.028500000000001</v>
      </c>
      <c r="F258">
        <v>19.0444</v>
      </c>
      <c r="G258" t="s">
        <v>22</v>
      </c>
      <c r="H258" t="s">
        <v>23</v>
      </c>
      <c r="I258" t="s">
        <v>516</v>
      </c>
      <c r="J258" t="s">
        <v>35</v>
      </c>
      <c r="K258" s="15">
        <v>2</v>
      </c>
      <c r="L258">
        <v>450</v>
      </c>
      <c r="M258">
        <v>900</v>
      </c>
      <c r="N258" t="s">
        <v>26</v>
      </c>
      <c r="O258">
        <v>2018</v>
      </c>
      <c r="P258" t="s">
        <v>70</v>
      </c>
      <c r="Q258" t="s">
        <v>71</v>
      </c>
      <c r="R258" t="s">
        <v>72</v>
      </c>
    </row>
    <row r="259" spans="1:18" x14ac:dyDescent="0.35">
      <c r="A259" t="s">
        <v>635</v>
      </c>
      <c r="B259" t="s">
        <v>664</v>
      </c>
      <c r="C259" s="11" t="s">
        <v>361</v>
      </c>
      <c r="D259" t="s">
        <v>21</v>
      </c>
      <c r="E259">
        <v>52.083300000000001</v>
      </c>
      <c r="F259">
        <v>16.649999999999999</v>
      </c>
      <c r="G259" t="s">
        <v>22</v>
      </c>
      <c r="H259" t="s">
        <v>23</v>
      </c>
      <c r="I259" t="s">
        <v>517</v>
      </c>
      <c r="J259" t="s">
        <v>25</v>
      </c>
      <c r="K259" s="15">
        <v>4</v>
      </c>
      <c r="L259">
        <v>115</v>
      </c>
      <c r="N259" t="s">
        <v>26</v>
      </c>
      <c r="O259">
        <v>2018</v>
      </c>
      <c r="P259" t="s">
        <v>115</v>
      </c>
      <c r="Q259" t="s">
        <v>58</v>
      </c>
      <c r="R259" t="s">
        <v>59</v>
      </c>
    </row>
    <row r="260" spans="1:18" x14ac:dyDescent="0.35">
      <c r="A260" t="s">
        <v>635</v>
      </c>
      <c r="B260" t="s">
        <v>518</v>
      </c>
      <c r="C260" s="11" t="s">
        <v>519</v>
      </c>
      <c r="D260" t="s">
        <v>21</v>
      </c>
      <c r="E260">
        <v>50.687399999999997</v>
      </c>
      <c r="F260">
        <v>16.371700000000001</v>
      </c>
      <c r="G260" t="s">
        <v>32</v>
      </c>
      <c r="H260" t="s">
        <v>33</v>
      </c>
      <c r="I260" t="s">
        <v>520</v>
      </c>
      <c r="J260" t="s">
        <v>86</v>
      </c>
      <c r="K260" s="15">
        <v>3</v>
      </c>
      <c r="L260">
        <v>445</v>
      </c>
      <c r="N260" t="s">
        <v>26</v>
      </c>
      <c r="O260">
        <v>2018</v>
      </c>
      <c r="P260" t="s">
        <v>87</v>
      </c>
      <c r="Q260" t="s">
        <v>42</v>
      </c>
      <c r="R260" t="s">
        <v>43</v>
      </c>
    </row>
    <row r="261" spans="1:18" x14ac:dyDescent="0.35">
      <c r="A261" t="s">
        <v>635</v>
      </c>
      <c r="B261" t="s">
        <v>655</v>
      </c>
      <c r="C261" s="11" t="s">
        <v>294</v>
      </c>
      <c r="D261" t="s">
        <v>21</v>
      </c>
      <c r="E261">
        <v>53.349200000000003</v>
      </c>
      <c r="F261">
        <v>18.426100000000002</v>
      </c>
      <c r="G261" t="s">
        <v>22</v>
      </c>
      <c r="H261" t="s">
        <v>23</v>
      </c>
      <c r="I261" t="s">
        <v>204</v>
      </c>
      <c r="J261" t="s">
        <v>25</v>
      </c>
      <c r="K261" s="15">
        <v>30</v>
      </c>
      <c r="L261">
        <v>99</v>
      </c>
      <c r="N261" t="s">
        <v>26</v>
      </c>
      <c r="O261">
        <v>2018</v>
      </c>
      <c r="P261" t="s">
        <v>87</v>
      </c>
      <c r="Q261" t="s">
        <v>42</v>
      </c>
      <c r="R261" t="s">
        <v>43</v>
      </c>
    </row>
    <row r="262" spans="1:18" x14ac:dyDescent="0.35">
      <c r="A262" t="s">
        <v>635</v>
      </c>
      <c r="B262" t="s">
        <v>672</v>
      </c>
      <c r="C262" s="11" t="s">
        <v>462</v>
      </c>
      <c r="D262" t="s">
        <v>21</v>
      </c>
      <c r="E262">
        <v>54.518900000000002</v>
      </c>
      <c r="F262">
        <v>18.5319</v>
      </c>
      <c r="G262" t="s">
        <v>32</v>
      </c>
      <c r="H262" t="s">
        <v>33</v>
      </c>
      <c r="I262" t="s">
        <v>69</v>
      </c>
      <c r="J262" t="s">
        <v>25</v>
      </c>
      <c r="K262" s="15">
        <v>6</v>
      </c>
      <c r="L262">
        <v>551</v>
      </c>
      <c r="N262" t="s">
        <v>26</v>
      </c>
      <c r="O262">
        <v>2018</v>
      </c>
      <c r="P262" t="s">
        <v>119</v>
      </c>
      <c r="Q262" t="s">
        <v>71</v>
      </c>
      <c r="R262" t="s">
        <v>72</v>
      </c>
    </row>
    <row r="263" spans="1:18" x14ac:dyDescent="0.35">
      <c r="A263" t="s">
        <v>635</v>
      </c>
      <c r="B263" t="s">
        <v>438</v>
      </c>
      <c r="C263" s="11" t="s">
        <v>439</v>
      </c>
      <c r="D263" t="s">
        <v>21</v>
      </c>
      <c r="E263">
        <v>50</v>
      </c>
      <c r="F263">
        <v>19.149999999999999</v>
      </c>
      <c r="G263" t="s">
        <v>22</v>
      </c>
      <c r="H263" t="s">
        <v>23</v>
      </c>
      <c r="I263" t="s">
        <v>85</v>
      </c>
      <c r="J263" t="s">
        <v>86</v>
      </c>
      <c r="K263" s="15">
        <v>5</v>
      </c>
      <c r="L263">
        <v>249</v>
      </c>
      <c r="N263" t="s">
        <v>26</v>
      </c>
      <c r="O263">
        <v>2018</v>
      </c>
      <c r="P263" t="s">
        <v>119</v>
      </c>
      <c r="Q263" t="s">
        <v>71</v>
      </c>
      <c r="R263" t="s">
        <v>72</v>
      </c>
    </row>
    <row r="264" spans="1:18" x14ac:dyDescent="0.35">
      <c r="A264" t="s">
        <v>635</v>
      </c>
      <c r="B264" t="s">
        <v>37</v>
      </c>
      <c r="C264" s="11" t="s">
        <v>38</v>
      </c>
      <c r="D264" t="s">
        <v>21</v>
      </c>
      <c r="E264">
        <v>50.083300000000001</v>
      </c>
      <c r="F264">
        <v>18.5</v>
      </c>
      <c r="G264" t="s">
        <v>32</v>
      </c>
      <c r="H264" t="s">
        <v>39</v>
      </c>
      <c r="I264" t="s">
        <v>108</v>
      </c>
      <c r="J264" t="s">
        <v>86</v>
      </c>
      <c r="K264" s="15">
        <v>5</v>
      </c>
      <c r="L264">
        <v>288</v>
      </c>
      <c r="N264" t="s">
        <v>26</v>
      </c>
      <c r="O264">
        <v>2018</v>
      </c>
      <c r="P264" t="s">
        <v>82</v>
      </c>
      <c r="Q264" t="s">
        <v>58</v>
      </c>
      <c r="R264" t="s">
        <v>59</v>
      </c>
    </row>
    <row r="265" spans="1:18" x14ac:dyDescent="0.35">
      <c r="A265" t="s">
        <v>635</v>
      </c>
      <c r="B265" t="s">
        <v>521</v>
      </c>
      <c r="C265" s="11" t="s">
        <v>522</v>
      </c>
      <c r="D265" t="s">
        <v>21</v>
      </c>
      <c r="E265">
        <v>54.55</v>
      </c>
      <c r="F265">
        <v>17.75</v>
      </c>
      <c r="G265" t="s">
        <v>22</v>
      </c>
      <c r="H265" t="s">
        <v>23</v>
      </c>
      <c r="I265" t="s">
        <v>383</v>
      </c>
      <c r="J265" t="s">
        <v>25</v>
      </c>
      <c r="K265" s="15">
        <v>1</v>
      </c>
      <c r="L265">
        <v>334</v>
      </c>
      <c r="N265" t="s">
        <v>26</v>
      </c>
      <c r="O265">
        <v>2018</v>
      </c>
      <c r="P265" t="s">
        <v>76</v>
      </c>
      <c r="Q265" t="s">
        <v>42</v>
      </c>
      <c r="R265" t="s">
        <v>43</v>
      </c>
    </row>
    <row r="266" spans="1:18" x14ac:dyDescent="0.35">
      <c r="A266" t="s">
        <v>635</v>
      </c>
      <c r="B266" t="s">
        <v>379</v>
      </c>
      <c r="C266" s="11" t="s">
        <v>380</v>
      </c>
      <c r="D266" t="s">
        <v>21</v>
      </c>
      <c r="E266">
        <v>49.9833</v>
      </c>
      <c r="F266">
        <v>20.433299999999999</v>
      </c>
      <c r="G266" t="s">
        <v>32</v>
      </c>
      <c r="H266" t="s">
        <v>39</v>
      </c>
      <c r="I266" t="s">
        <v>523</v>
      </c>
      <c r="J266" t="s">
        <v>86</v>
      </c>
      <c r="K266" s="15">
        <v>2</v>
      </c>
      <c r="L266">
        <v>47</v>
      </c>
      <c r="N266" t="s">
        <v>26</v>
      </c>
      <c r="O266">
        <v>2018</v>
      </c>
      <c r="P266" t="s">
        <v>63</v>
      </c>
      <c r="Q266" t="s">
        <v>28</v>
      </c>
      <c r="R266" t="s">
        <v>29</v>
      </c>
    </row>
    <row r="267" spans="1:18" x14ac:dyDescent="0.35">
      <c r="A267" t="s">
        <v>635</v>
      </c>
      <c r="B267" t="s">
        <v>665</v>
      </c>
      <c r="C267" s="11" t="s">
        <v>363</v>
      </c>
      <c r="D267" t="s">
        <v>21</v>
      </c>
      <c r="E267">
        <v>50.872500000000002</v>
      </c>
      <c r="F267">
        <v>20.631900000000002</v>
      </c>
      <c r="G267" t="s">
        <v>32</v>
      </c>
      <c r="H267" t="s">
        <v>39</v>
      </c>
      <c r="I267" t="s">
        <v>80</v>
      </c>
      <c r="J267" t="s">
        <v>25</v>
      </c>
      <c r="K267" s="15">
        <v>5</v>
      </c>
      <c r="L267">
        <v>762</v>
      </c>
      <c r="N267" t="s">
        <v>26</v>
      </c>
      <c r="O267">
        <v>2018</v>
      </c>
      <c r="P267" t="s">
        <v>52</v>
      </c>
      <c r="Q267" t="s">
        <v>28</v>
      </c>
      <c r="R267" t="s">
        <v>29</v>
      </c>
    </row>
    <row r="268" spans="1:18" x14ac:dyDescent="0.35">
      <c r="A268" t="s">
        <v>635</v>
      </c>
      <c r="B268" t="s">
        <v>138</v>
      </c>
      <c r="C268" s="11" t="s">
        <v>139</v>
      </c>
      <c r="D268" t="s">
        <v>21</v>
      </c>
      <c r="E268">
        <v>50.1556</v>
      </c>
      <c r="F268">
        <v>23.123000000000001</v>
      </c>
      <c r="G268" t="s">
        <v>32</v>
      </c>
      <c r="H268" t="s">
        <v>39</v>
      </c>
      <c r="I268" t="s">
        <v>244</v>
      </c>
      <c r="J268" t="s">
        <v>35</v>
      </c>
      <c r="K268" s="15">
        <v>6</v>
      </c>
      <c r="L268">
        <v>497</v>
      </c>
      <c r="N268" t="s">
        <v>26</v>
      </c>
      <c r="O268">
        <v>2018</v>
      </c>
      <c r="P268" t="s">
        <v>70</v>
      </c>
      <c r="Q268" t="s">
        <v>71</v>
      </c>
      <c r="R268" t="s">
        <v>72</v>
      </c>
    </row>
    <row r="269" spans="1:18" x14ac:dyDescent="0.35">
      <c r="A269" t="s">
        <v>635</v>
      </c>
      <c r="B269" t="s">
        <v>316</v>
      </c>
      <c r="C269" s="11" t="s">
        <v>317</v>
      </c>
      <c r="D269" t="s">
        <v>21</v>
      </c>
      <c r="E269">
        <v>54.566699999999997</v>
      </c>
      <c r="F269">
        <v>18.399999999999999</v>
      </c>
      <c r="G269" t="s">
        <v>32</v>
      </c>
      <c r="H269" t="s">
        <v>33</v>
      </c>
      <c r="I269" t="s">
        <v>318</v>
      </c>
      <c r="J269" t="s">
        <v>86</v>
      </c>
      <c r="K269" s="15">
        <v>6</v>
      </c>
      <c r="L269">
        <v>655</v>
      </c>
      <c r="M269">
        <v>3930</v>
      </c>
      <c r="N269" t="s">
        <v>26</v>
      </c>
      <c r="O269">
        <v>2018</v>
      </c>
      <c r="P269" t="s">
        <v>87</v>
      </c>
      <c r="Q269" t="s">
        <v>42</v>
      </c>
      <c r="R269" t="s">
        <v>43</v>
      </c>
    </row>
    <row r="270" spans="1:18" x14ac:dyDescent="0.35">
      <c r="A270" t="s">
        <v>635</v>
      </c>
      <c r="B270" t="s">
        <v>99</v>
      </c>
      <c r="C270" s="11" t="s">
        <v>100</v>
      </c>
      <c r="D270" t="s">
        <v>21</v>
      </c>
      <c r="E270">
        <v>50.15</v>
      </c>
      <c r="F270">
        <v>18.833300000000001</v>
      </c>
      <c r="G270" t="s">
        <v>22</v>
      </c>
      <c r="H270" t="s">
        <v>23</v>
      </c>
      <c r="I270" t="s">
        <v>429</v>
      </c>
      <c r="J270" t="s">
        <v>134</v>
      </c>
      <c r="K270" s="15">
        <v>5</v>
      </c>
      <c r="L270">
        <v>420</v>
      </c>
      <c r="M270">
        <v>2100</v>
      </c>
      <c r="N270" t="s">
        <v>26</v>
      </c>
      <c r="O270">
        <v>2018</v>
      </c>
      <c r="P270" t="s">
        <v>36</v>
      </c>
      <c r="Q270" t="s">
        <v>28</v>
      </c>
      <c r="R270" t="s">
        <v>29</v>
      </c>
    </row>
    <row r="271" spans="1:18" x14ac:dyDescent="0.35">
      <c r="A271" t="s">
        <v>635</v>
      </c>
      <c r="B271" t="s">
        <v>331</v>
      </c>
      <c r="C271" s="11" t="s">
        <v>332</v>
      </c>
      <c r="D271" t="s">
        <v>21</v>
      </c>
      <c r="E271">
        <v>52.7667</v>
      </c>
      <c r="F271">
        <v>23.2</v>
      </c>
      <c r="G271" t="s">
        <v>22</v>
      </c>
      <c r="H271" t="s">
        <v>79</v>
      </c>
      <c r="I271" t="s">
        <v>151</v>
      </c>
      <c r="J271" t="s">
        <v>134</v>
      </c>
      <c r="K271" s="15">
        <v>3</v>
      </c>
      <c r="L271">
        <v>164</v>
      </c>
      <c r="M271">
        <v>492</v>
      </c>
      <c r="N271" t="s">
        <v>26</v>
      </c>
      <c r="O271">
        <v>2018</v>
      </c>
      <c r="P271" t="s">
        <v>76</v>
      </c>
      <c r="Q271" t="s">
        <v>42</v>
      </c>
      <c r="R271" t="s">
        <v>43</v>
      </c>
    </row>
    <row r="272" spans="1:18" x14ac:dyDescent="0.35">
      <c r="A272" t="s">
        <v>635</v>
      </c>
      <c r="B272" t="s">
        <v>92</v>
      </c>
      <c r="C272" s="11" t="s">
        <v>93</v>
      </c>
      <c r="D272" t="s">
        <v>21</v>
      </c>
      <c r="E272">
        <v>54.366700000000002</v>
      </c>
      <c r="F272">
        <v>18.633299999999998</v>
      </c>
      <c r="G272" t="s">
        <v>32</v>
      </c>
      <c r="H272" t="s">
        <v>33</v>
      </c>
      <c r="I272" t="s">
        <v>374</v>
      </c>
      <c r="J272" t="s">
        <v>86</v>
      </c>
      <c r="K272" s="15">
        <v>5</v>
      </c>
      <c r="L272">
        <v>535</v>
      </c>
      <c r="M272">
        <v>2675</v>
      </c>
      <c r="N272" t="s">
        <v>26</v>
      </c>
      <c r="O272">
        <v>2018</v>
      </c>
      <c r="P272" t="s">
        <v>70</v>
      </c>
      <c r="Q272" t="s">
        <v>71</v>
      </c>
      <c r="R272" t="s">
        <v>72</v>
      </c>
    </row>
    <row r="273" spans="1:18" x14ac:dyDescent="0.35">
      <c r="A273" t="s">
        <v>635</v>
      </c>
      <c r="B273" t="s">
        <v>667</v>
      </c>
      <c r="C273" s="11" t="s">
        <v>370</v>
      </c>
      <c r="D273" t="s">
        <v>21</v>
      </c>
      <c r="E273">
        <v>51.8</v>
      </c>
      <c r="F273">
        <v>15.716699999999999</v>
      </c>
      <c r="G273" t="s">
        <v>32</v>
      </c>
      <c r="H273" t="s">
        <v>39</v>
      </c>
      <c r="I273" t="s">
        <v>524</v>
      </c>
      <c r="J273" t="s">
        <v>134</v>
      </c>
      <c r="K273" s="15">
        <v>1</v>
      </c>
      <c r="L273">
        <v>104</v>
      </c>
      <c r="M273">
        <v>104</v>
      </c>
      <c r="N273" t="s">
        <v>26</v>
      </c>
      <c r="O273">
        <v>2018</v>
      </c>
      <c r="P273" t="s">
        <v>70</v>
      </c>
      <c r="Q273" t="s">
        <v>71</v>
      </c>
      <c r="R273" t="s">
        <v>72</v>
      </c>
    </row>
    <row r="274" spans="1:18" x14ac:dyDescent="0.35">
      <c r="A274" t="s">
        <v>635</v>
      </c>
      <c r="B274" t="s">
        <v>319</v>
      </c>
      <c r="C274" s="11" t="s">
        <v>320</v>
      </c>
      <c r="D274" t="s">
        <v>21</v>
      </c>
      <c r="E274">
        <v>52.2333</v>
      </c>
      <c r="F274">
        <v>19.366700000000002</v>
      </c>
      <c r="G274" t="s">
        <v>32</v>
      </c>
      <c r="H274" t="s">
        <v>33</v>
      </c>
      <c r="I274" t="s">
        <v>443</v>
      </c>
      <c r="J274" t="s">
        <v>134</v>
      </c>
      <c r="K274" s="15">
        <v>3</v>
      </c>
      <c r="L274">
        <v>377</v>
      </c>
      <c r="N274" t="s">
        <v>26</v>
      </c>
      <c r="O274">
        <v>2018</v>
      </c>
      <c r="P274" t="s">
        <v>41</v>
      </c>
      <c r="Q274" t="s">
        <v>42</v>
      </c>
      <c r="R274" t="s">
        <v>43</v>
      </c>
    </row>
    <row r="275" spans="1:18" x14ac:dyDescent="0.35">
      <c r="A275" t="s">
        <v>635</v>
      </c>
      <c r="B275" t="s">
        <v>525</v>
      </c>
      <c r="C275" s="11" t="s">
        <v>526</v>
      </c>
      <c r="D275" t="s">
        <v>21</v>
      </c>
      <c r="E275">
        <v>50.200899999999997</v>
      </c>
      <c r="F275">
        <v>17.828600000000002</v>
      </c>
      <c r="G275" t="s">
        <v>32</v>
      </c>
      <c r="H275" t="s">
        <v>39</v>
      </c>
      <c r="I275" t="s">
        <v>527</v>
      </c>
      <c r="J275" t="s">
        <v>134</v>
      </c>
      <c r="K275" s="15">
        <v>1</v>
      </c>
      <c r="L275">
        <v>402</v>
      </c>
      <c r="M275">
        <v>402</v>
      </c>
      <c r="N275" t="s">
        <v>26</v>
      </c>
      <c r="O275">
        <v>2018</v>
      </c>
      <c r="P275" t="s">
        <v>41</v>
      </c>
      <c r="Q275" t="s">
        <v>42</v>
      </c>
      <c r="R275" t="s">
        <v>43</v>
      </c>
    </row>
    <row r="276" spans="1:18" x14ac:dyDescent="0.35">
      <c r="A276" t="s">
        <v>635</v>
      </c>
      <c r="B276" t="s">
        <v>671</v>
      </c>
      <c r="C276" s="11" t="s">
        <v>459</v>
      </c>
      <c r="D276" t="s">
        <v>21</v>
      </c>
      <c r="E276">
        <v>51.273000000000003</v>
      </c>
      <c r="F276">
        <v>16.708100000000002</v>
      </c>
      <c r="G276" t="s">
        <v>22</v>
      </c>
      <c r="H276" t="s">
        <v>23</v>
      </c>
      <c r="I276" t="s">
        <v>40</v>
      </c>
      <c r="J276" t="s">
        <v>35</v>
      </c>
      <c r="K276" s="15">
        <v>2</v>
      </c>
      <c r="L276">
        <v>66</v>
      </c>
      <c r="M276">
        <v>132</v>
      </c>
      <c r="N276" t="s">
        <v>26</v>
      </c>
      <c r="O276">
        <v>2018</v>
      </c>
      <c r="P276" t="s">
        <v>36</v>
      </c>
      <c r="Q276" t="s">
        <v>28</v>
      </c>
      <c r="R276" t="s">
        <v>29</v>
      </c>
    </row>
    <row r="277" spans="1:18" x14ac:dyDescent="0.35">
      <c r="A277" t="s">
        <v>635</v>
      </c>
      <c r="B277" t="s">
        <v>178</v>
      </c>
      <c r="C277" s="11" t="s">
        <v>179</v>
      </c>
      <c r="D277" t="s">
        <v>21</v>
      </c>
      <c r="E277">
        <v>54.166699999999999</v>
      </c>
      <c r="F277">
        <v>19.399999999999999</v>
      </c>
      <c r="G277" t="s">
        <v>32</v>
      </c>
      <c r="H277" t="s">
        <v>39</v>
      </c>
      <c r="I277" t="s">
        <v>304</v>
      </c>
      <c r="J277" t="s">
        <v>86</v>
      </c>
      <c r="K277" s="15">
        <v>6</v>
      </c>
      <c r="L277">
        <v>647</v>
      </c>
      <c r="M277">
        <v>3882</v>
      </c>
      <c r="N277" t="s">
        <v>26</v>
      </c>
      <c r="O277">
        <v>2018</v>
      </c>
      <c r="P277" t="s">
        <v>115</v>
      </c>
      <c r="Q277" t="s">
        <v>58</v>
      </c>
      <c r="R277" t="s">
        <v>59</v>
      </c>
    </row>
    <row r="278" spans="1:18" x14ac:dyDescent="0.35">
      <c r="A278" t="s">
        <v>635</v>
      </c>
      <c r="B278" t="s">
        <v>129</v>
      </c>
      <c r="C278" s="11" t="s">
        <v>130</v>
      </c>
      <c r="D278" t="s">
        <v>679</v>
      </c>
      <c r="E278">
        <v>52.183300000000003</v>
      </c>
      <c r="F278">
        <v>20.85</v>
      </c>
      <c r="G278" t="s">
        <v>22</v>
      </c>
      <c r="H278" t="s">
        <v>23</v>
      </c>
      <c r="I278" t="s">
        <v>528</v>
      </c>
      <c r="J278" t="s">
        <v>95</v>
      </c>
      <c r="K278" s="15">
        <v>2</v>
      </c>
      <c r="L278">
        <v>487</v>
      </c>
      <c r="M278">
        <v>974</v>
      </c>
      <c r="N278" t="s">
        <v>26</v>
      </c>
      <c r="O278">
        <v>2018</v>
      </c>
      <c r="P278" t="s">
        <v>52</v>
      </c>
      <c r="Q278" t="s">
        <v>28</v>
      </c>
      <c r="R278" t="s">
        <v>29</v>
      </c>
    </row>
    <row r="279" spans="1:18" x14ac:dyDescent="0.35">
      <c r="A279" t="s">
        <v>635</v>
      </c>
      <c r="B279" t="s">
        <v>249</v>
      </c>
      <c r="C279" s="11" t="s">
        <v>250</v>
      </c>
      <c r="D279" t="s">
        <v>679</v>
      </c>
      <c r="E279">
        <v>52.124299999999998</v>
      </c>
      <c r="F279">
        <v>20.665400000000002</v>
      </c>
      <c r="G279" t="s">
        <v>32</v>
      </c>
      <c r="H279" t="s">
        <v>33</v>
      </c>
      <c r="I279" t="s">
        <v>529</v>
      </c>
      <c r="J279" t="s">
        <v>47</v>
      </c>
      <c r="K279" s="15">
        <v>2</v>
      </c>
      <c r="L279">
        <v>323</v>
      </c>
      <c r="M279">
        <v>646</v>
      </c>
      <c r="N279" t="s">
        <v>26</v>
      </c>
      <c r="O279">
        <v>2018</v>
      </c>
      <c r="P279" t="s">
        <v>82</v>
      </c>
      <c r="Q279" t="s">
        <v>58</v>
      </c>
      <c r="R279" t="s">
        <v>59</v>
      </c>
    </row>
    <row r="280" spans="1:18" x14ac:dyDescent="0.35">
      <c r="A280" t="s">
        <v>635</v>
      </c>
      <c r="B280" t="s">
        <v>680</v>
      </c>
      <c r="C280" s="11" t="s">
        <v>531</v>
      </c>
      <c r="D280" t="s">
        <v>679</v>
      </c>
      <c r="E280">
        <v>52.216700000000003</v>
      </c>
      <c r="F280">
        <v>21.033300000000001</v>
      </c>
      <c r="G280" t="s">
        <v>32</v>
      </c>
      <c r="H280" t="s">
        <v>33</v>
      </c>
      <c r="I280" t="s">
        <v>66</v>
      </c>
      <c r="J280" t="s">
        <v>25</v>
      </c>
      <c r="K280" s="15">
        <v>2</v>
      </c>
      <c r="L280">
        <v>742</v>
      </c>
      <c r="M280">
        <v>1484</v>
      </c>
      <c r="N280" t="s">
        <v>26</v>
      </c>
      <c r="O280">
        <v>2018</v>
      </c>
      <c r="P280" t="s">
        <v>105</v>
      </c>
      <c r="Q280" t="s">
        <v>71</v>
      </c>
      <c r="R280" t="s">
        <v>72</v>
      </c>
    </row>
    <row r="281" spans="1:18" x14ac:dyDescent="0.35">
      <c r="A281" t="s">
        <v>635</v>
      </c>
      <c r="B281" t="s">
        <v>672</v>
      </c>
      <c r="C281" s="11" t="s">
        <v>462</v>
      </c>
      <c r="D281" t="s">
        <v>679</v>
      </c>
      <c r="E281">
        <v>54.518900000000002</v>
      </c>
      <c r="F281">
        <v>18.5319</v>
      </c>
      <c r="G281" t="s">
        <v>32</v>
      </c>
      <c r="H281" t="s">
        <v>33</v>
      </c>
      <c r="I281" t="s">
        <v>429</v>
      </c>
      <c r="J281" t="s">
        <v>134</v>
      </c>
      <c r="K281" s="15">
        <v>30</v>
      </c>
      <c r="L281">
        <v>420</v>
      </c>
      <c r="M281">
        <v>12600</v>
      </c>
      <c r="N281" t="s">
        <v>26</v>
      </c>
      <c r="O281">
        <v>2018</v>
      </c>
      <c r="P281" t="s">
        <v>27</v>
      </c>
      <c r="Q281" t="s">
        <v>28</v>
      </c>
      <c r="R281" t="s">
        <v>29</v>
      </c>
    </row>
    <row r="282" spans="1:18" x14ac:dyDescent="0.35">
      <c r="A282" t="s">
        <v>635</v>
      </c>
      <c r="B282" t="s">
        <v>340</v>
      </c>
      <c r="C282" s="11" t="s">
        <v>341</v>
      </c>
      <c r="D282" t="s">
        <v>679</v>
      </c>
      <c r="E282">
        <v>51.030799999999999</v>
      </c>
      <c r="F282">
        <v>15.420199999999999</v>
      </c>
      <c r="G282" t="s">
        <v>22</v>
      </c>
      <c r="H282" t="s">
        <v>23</v>
      </c>
      <c r="I282" t="s">
        <v>477</v>
      </c>
      <c r="J282" t="s">
        <v>47</v>
      </c>
      <c r="K282" s="15">
        <v>2</v>
      </c>
      <c r="L282">
        <v>578</v>
      </c>
      <c r="M282">
        <v>1156</v>
      </c>
      <c r="N282" t="s">
        <v>26</v>
      </c>
      <c r="O282">
        <v>2018</v>
      </c>
      <c r="P282" t="s">
        <v>119</v>
      </c>
      <c r="Q282" t="s">
        <v>71</v>
      </c>
      <c r="R282" t="s">
        <v>72</v>
      </c>
    </row>
    <row r="283" spans="1:18" x14ac:dyDescent="0.35">
      <c r="A283" t="s">
        <v>635</v>
      </c>
      <c r="B283" t="s">
        <v>525</v>
      </c>
      <c r="C283" s="11" t="s">
        <v>526</v>
      </c>
      <c r="D283" t="s">
        <v>679</v>
      </c>
      <c r="E283">
        <v>50.200899999999997</v>
      </c>
      <c r="F283">
        <v>17.828600000000002</v>
      </c>
      <c r="G283" t="s">
        <v>32</v>
      </c>
      <c r="H283" t="s">
        <v>39</v>
      </c>
      <c r="I283" t="s">
        <v>532</v>
      </c>
      <c r="J283" t="s">
        <v>25</v>
      </c>
      <c r="K283" s="15">
        <v>2</v>
      </c>
      <c r="L283">
        <v>682</v>
      </c>
      <c r="M283">
        <v>1364</v>
      </c>
      <c r="N283" t="s">
        <v>26</v>
      </c>
      <c r="O283">
        <v>2018</v>
      </c>
      <c r="P283" t="s">
        <v>119</v>
      </c>
      <c r="Q283" t="s">
        <v>71</v>
      </c>
      <c r="R283" t="s">
        <v>72</v>
      </c>
    </row>
    <row r="284" spans="1:18" x14ac:dyDescent="0.35">
      <c r="A284" t="s">
        <v>635</v>
      </c>
      <c r="B284" t="s">
        <v>518</v>
      </c>
      <c r="C284" s="11" t="s">
        <v>519</v>
      </c>
      <c r="D284" t="s">
        <v>679</v>
      </c>
      <c r="E284">
        <v>50.687399999999997</v>
      </c>
      <c r="F284">
        <v>16.371700000000001</v>
      </c>
      <c r="G284" t="s">
        <v>32</v>
      </c>
      <c r="H284" t="s">
        <v>33</v>
      </c>
      <c r="I284" t="s">
        <v>406</v>
      </c>
      <c r="J284" t="s">
        <v>86</v>
      </c>
      <c r="K284" s="15">
        <v>2</v>
      </c>
      <c r="L284">
        <v>345</v>
      </c>
      <c r="M284">
        <v>690</v>
      </c>
      <c r="N284" t="s">
        <v>26</v>
      </c>
      <c r="O284">
        <v>2018</v>
      </c>
      <c r="P284" t="s">
        <v>105</v>
      </c>
      <c r="Q284" t="s">
        <v>71</v>
      </c>
      <c r="R284" t="s">
        <v>72</v>
      </c>
    </row>
    <row r="285" spans="1:18" x14ac:dyDescent="0.35">
      <c r="A285" t="s">
        <v>635</v>
      </c>
      <c r="B285" t="s">
        <v>533</v>
      </c>
      <c r="C285" s="11" t="s">
        <v>534</v>
      </c>
      <c r="D285" t="s">
        <v>21</v>
      </c>
      <c r="E285">
        <v>49.4833</v>
      </c>
      <c r="F285">
        <v>20.033300000000001</v>
      </c>
      <c r="G285" t="s">
        <v>32</v>
      </c>
      <c r="H285" t="s">
        <v>39</v>
      </c>
      <c r="I285" t="s">
        <v>535</v>
      </c>
      <c r="J285" t="s">
        <v>95</v>
      </c>
      <c r="K285" s="15">
        <v>34</v>
      </c>
      <c r="L285">
        <v>390</v>
      </c>
      <c r="M285">
        <v>13260</v>
      </c>
      <c r="N285" t="s">
        <v>26</v>
      </c>
      <c r="O285">
        <v>2018</v>
      </c>
      <c r="P285" t="s">
        <v>27</v>
      </c>
      <c r="Q285" t="s">
        <v>28</v>
      </c>
      <c r="R285" t="s">
        <v>29</v>
      </c>
    </row>
    <row r="286" spans="1:18" x14ac:dyDescent="0.35">
      <c r="A286" t="s">
        <v>635</v>
      </c>
      <c r="B286" t="s">
        <v>300</v>
      </c>
      <c r="C286" s="11" t="s">
        <v>301</v>
      </c>
      <c r="D286" t="s">
        <v>21</v>
      </c>
      <c r="E286">
        <v>53.816699999999997</v>
      </c>
      <c r="F286">
        <v>22.35</v>
      </c>
      <c r="G286" t="s">
        <v>32</v>
      </c>
      <c r="H286" t="s">
        <v>33</v>
      </c>
      <c r="I286" t="s">
        <v>194</v>
      </c>
      <c r="J286" t="s">
        <v>134</v>
      </c>
      <c r="K286" s="15">
        <v>20</v>
      </c>
      <c r="L286">
        <v>482</v>
      </c>
      <c r="M286">
        <v>9640</v>
      </c>
      <c r="N286" t="s">
        <v>26</v>
      </c>
      <c r="O286">
        <v>2018</v>
      </c>
      <c r="P286" t="s">
        <v>41</v>
      </c>
      <c r="Q286" t="s">
        <v>42</v>
      </c>
      <c r="R286" t="s">
        <v>43</v>
      </c>
    </row>
    <row r="287" spans="1:18" x14ac:dyDescent="0.35">
      <c r="A287" t="s">
        <v>635</v>
      </c>
      <c r="B287" t="s">
        <v>653</v>
      </c>
      <c r="C287" s="11" t="s">
        <v>281</v>
      </c>
      <c r="D287" t="s">
        <v>21</v>
      </c>
      <c r="E287">
        <v>52.253100000000003</v>
      </c>
      <c r="F287">
        <v>15.9178</v>
      </c>
      <c r="G287" t="s">
        <v>22</v>
      </c>
      <c r="H287" t="s">
        <v>23</v>
      </c>
      <c r="I287" t="s">
        <v>470</v>
      </c>
      <c r="J287" t="s">
        <v>86</v>
      </c>
      <c r="K287" s="15">
        <v>2</v>
      </c>
      <c r="L287">
        <v>634</v>
      </c>
      <c r="M287">
        <v>1268</v>
      </c>
      <c r="N287" t="s">
        <v>26</v>
      </c>
      <c r="O287">
        <v>2018</v>
      </c>
      <c r="P287" t="s">
        <v>52</v>
      </c>
      <c r="Q287" t="s">
        <v>28</v>
      </c>
      <c r="R287" t="s">
        <v>29</v>
      </c>
    </row>
    <row r="288" spans="1:18" x14ac:dyDescent="0.35">
      <c r="A288" t="s">
        <v>635</v>
      </c>
      <c r="B288" t="s">
        <v>670</v>
      </c>
      <c r="C288" s="11" t="s">
        <v>437</v>
      </c>
      <c r="D288" t="s">
        <v>21</v>
      </c>
      <c r="E288">
        <v>52.588299999999997</v>
      </c>
      <c r="F288">
        <v>14.666700000000001</v>
      </c>
      <c r="G288" t="s">
        <v>22</v>
      </c>
      <c r="H288" t="s">
        <v>79</v>
      </c>
      <c r="I288" t="s">
        <v>159</v>
      </c>
      <c r="J288" t="s">
        <v>47</v>
      </c>
      <c r="K288" s="15">
        <v>2</v>
      </c>
      <c r="L288">
        <v>26</v>
      </c>
      <c r="M288">
        <v>52</v>
      </c>
      <c r="N288" t="s">
        <v>26</v>
      </c>
      <c r="O288">
        <v>2018</v>
      </c>
      <c r="P288" t="s">
        <v>63</v>
      </c>
      <c r="Q288" t="s">
        <v>28</v>
      </c>
      <c r="R288" t="s">
        <v>29</v>
      </c>
    </row>
    <row r="289" spans="1:18" x14ac:dyDescent="0.35">
      <c r="A289" t="s">
        <v>635</v>
      </c>
      <c r="B289" t="s">
        <v>319</v>
      </c>
      <c r="C289" s="11" t="s">
        <v>320</v>
      </c>
      <c r="D289" t="s">
        <v>21</v>
      </c>
      <c r="E289">
        <v>52.2333</v>
      </c>
      <c r="F289">
        <v>19.366700000000002</v>
      </c>
      <c r="G289" t="s">
        <v>32</v>
      </c>
      <c r="H289" t="s">
        <v>33</v>
      </c>
      <c r="I289" t="s">
        <v>367</v>
      </c>
      <c r="J289" t="s">
        <v>134</v>
      </c>
      <c r="K289" s="15">
        <v>6</v>
      </c>
      <c r="L289">
        <v>187</v>
      </c>
      <c r="M289">
        <v>0</v>
      </c>
      <c r="N289" t="s">
        <v>26</v>
      </c>
      <c r="O289">
        <v>2018</v>
      </c>
      <c r="P289" t="s">
        <v>27</v>
      </c>
      <c r="Q289" t="s">
        <v>28</v>
      </c>
      <c r="R289" t="s">
        <v>29</v>
      </c>
    </row>
    <row r="290" spans="1:18" x14ac:dyDescent="0.35">
      <c r="A290" t="s">
        <v>635</v>
      </c>
      <c r="B290" t="s">
        <v>536</v>
      </c>
      <c r="C290" s="11" t="s">
        <v>537</v>
      </c>
      <c r="D290" t="s">
        <v>681</v>
      </c>
      <c r="E290">
        <v>52.444600000000001</v>
      </c>
      <c r="F290">
        <v>15.577999999999999</v>
      </c>
      <c r="G290" t="s">
        <v>32</v>
      </c>
      <c r="H290" t="s">
        <v>39</v>
      </c>
      <c r="I290" t="s">
        <v>538</v>
      </c>
      <c r="J290" t="s">
        <v>47</v>
      </c>
      <c r="K290" s="15">
        <v>2</v>
      </c>
      <c r="L290">
        <v>555</v>
      </c>
      <c r="M290">
        <v>1110</v>
      </c>
      <c r="N290" t="s">
        <v>26</v>
      </c>
      <c r="O290">
        <v>2018</v>
      </c>
      <c r="P290" t="s">
        <v>41</v>
      </c>
      <c r="Q290" t="s">
        <v>42</v>
      </c>
      <c r="R290" t="s">
        <v>43</v>
      </c>
    </row>
    <row r="291" spans="1:18" x14ac:dyDescent="0.35">
      <c r="A291" t="s">
        <v>635</v>
      </c>
      <c r="B291" t="s">
        <v>240</v>
      </c>
      <c r="C291" s="11" t="s">
        <v>241</v>
      </c>
      <c r="D291" t="s">
        <v>681</v>
      </c>
      <c r="E291">
        <v>52.2453</v>
      </c>
      <c r="F291">
        <v>19.6236</v>
      </c>
      <c r="G291" t="s">
        <v>22</v>
      </c>
      <c r="H291" t="s">
        <v>79</v>
      </c>
      <c r="I291" t="s">
        <v>40</v>
      </c>
      <c r="J291" t="s">
        <v>35</v>
      </c>
      <c r="K291" s="15">
        <v>2</v>
      </c>
      <c r="L291">
        <v>66</v>
      </c>
      <c r="M291">
        <v>132</v>
      </c>
      <c r="N291" t="s">
        <v>26</v>
      </c>
      <c r="O291">
        <v>2018</v>
      </c>
      <c r="P291" t="s">
        <v>27</v>
      </c>
      <c r="Q291" t="s">
        <v>28</v>
      </c>
      <c r="R291" t="s">
        <v>29</v>
      </c>
    </row>
    <row r="292" spans="1:18" x14ac:dyDescent="0.35">
      <c r="A292" t="s">
        <v>635</v>
      </c>
      <c r="B292" t="s">
        <v>412</v>
      </c>
      <c r="C292" s="11" t="s">
        <v>413</v>
      </c>
      <c r="D292" t="s">
        <v>21</v>
      </c>
      <c r="E292">
        <v>53.116700000000002</v>
      </c>
      <c r="F292">
        <v>18</v>
      </c>
      <c r="G292" t="s">
        <v>22</v>
      </c>
      <c r="H292" t="s">
        <v>23</v>
      </c>
      <c r="I292" t="s">
        <v>539</v>
      </c>
      <c r="J292" t="s">
        <v>95</v>
      </c>
      <c r="K292" s="15">
        <v>1</v>
      </c>
      <c r="L292">
        <v>618</v>
      </c>
      <c r="M292">
        <v>618</v>
      </c>
      <c r="N292" t="s">
        <v>26</v>
      </c>
      <c r="O292">
        <v>2018</v>
      </c>
      <c r="P292" t="s">
        <v>41</v>
      </c>
      <c r="Q292" t="s">
        <v>42</v>
      </c>
      <c r="R292" t="s">
        <v>43</v>
      </c>
    </row>
    <row r="293" spans="1:18" x14ac:dyDescent="0.35">
      <c r="A293" t="s">
        <v>635</v>
      </c>
      <c r="B293" t="s">
        <v>154</v>
      </c>
      <c r="C293" s="11" t="s">
        <v>155</v>
      </c>
      <c r="D293" t="s">
        <v>21</v>
      </c>
      <c r="E293">
        <v>52.1417</v>
      </c>
      <c r="F293">
        <v>20.716699999999999</v>
      </c>
      <c r="G293" t="s">
        <v>22</v>
      </c>
      <c r="H293" t="s">
        <v>23</v>
      </c>
      <c r="I293" t="s">
        <v>297</v>
      </c>
      <c r="J293" t="s">
        <v>86</v>
      </c>
      <c r="K293" s="15">
        <v>1</v>
      </c>
      <c r="L293">
        <v>318</v>
      </c>
      <c r="M293">
        <v>318</v>
      </c>
      <c r="N293" t="s">
        <v>26</v>
      </c>
      <c r="O293">
        <v>2018</v>
      </c>
      <c r="P293" t="s">
        <v>105</v>
      </c>
      <c r="Q293" t="s">
        <v>71</v>
      </c>
      <c r="R293" t="s">
        <v>72</v>
      </c>
    </row>
    <row r="294" spans="1:18" x14ac:dyDescent="0.35">
      <c r="A294" t="s">
        <v>635</v>
      </c>
      <c r="B294" t="s">
        <v>651</v>
      </c>
      <c r="C294" s="11" t="s">
        <v>256</v>
      </c>
      <c r="D294" t="s">
        <v>21</v>
      </c>
      <c r="E294">
        <v>52.183300000000003</v>
      </c>
      <c r="F294">
        <v>22.283300000000001</v>
      </c>
      <c r="G294" t="s">
        <v>32</v>
      </c>
      <c r="H294" t="s">
        <v>33</v>
      </c>
      <c r="I294" t="s">
        <v>538</v>
      </c>
      <c r="J294" t="s">
        <v>47</v>
      </c>
      <c r="K294" s="15">
        <v>1</v>
      </c>
      <c r="L294">
        <v>555</v>
      </c>
      <c r="M294">
        <v>555</v>
      </c>
      <c r="N294" t="s">
        <v>26</v>
      </c>
      <c r="O294">
        <v>2018</v>
      </c>
      <c r="P294" t="s">
        <v>63</v>
      </c>
      <c r="Q294" t="s">
        <v>28</v>
      </c>
      <c r="R294" t="s">
        <v>29</v>
      </c>
    </row>
    <row r="295" spans="1:18" x14ac:dyDescent="0.35">
      <c r="A295" t="s">
        <v>635</v>
      </c>
      <c r="B295" t="s">
        <v>504</v>
      </c>
      <c r="C295" s="11" t="s">
        <v>505</v>
      </c>
      <c r="D295" t="s">
        <v>21</v>
      </c>
      <c r="E295">
        <v>51.466700000000003</v>
      </c>
      <c r="F295">
        <v>22.6</v>
      </c>
      <c r="G295" t="s">
        <v>32</v>
      </c>
      <c r="H295" t="s">
        <v>39</v>
      </c>
      <c r="I295" t="s">
        <v>540</v>
      </c>
      <c r="J295" t="s">
        <v>134</v>
      </c>
      <c r="K295" s="15">
        <v>1</v>
      </c>
      <c r="L295">
        <v>478</v>
      </c>
      <c r="M295">
        <v>0</v>
      </c>
      <c r="N295" t="s">
        <v>26</v>
      </c>
      <c r="O295">
        <v>2018</v>
      </c>
      <c r="P295" t="s">
        <v>27</v>
      </c>
      <c r="Q295" t="s">
        <v>28</v>
      </c>
      <c r="R295" t="s">
        <v>29</v>
      </c>
    </row>
    <row r="296" spans="1:18" x14ac:dyDescent="0.35">
      <c r="A296" t="s">
        <v>635</v>
      </c>
      <c r="B296" t="s">
        <v>249</v>
      </c>
      <c r="C296" s="11" t="s">
        <v>250</v>
      </c>
      <c r="D296" t="s">
        <v>21</v>
      </c>
      <c r="E296">
        <v>52.124299999999998</v>
      </c>
      <c r="F296">
        <v>20.665400000000002</v>
      </c>
      <c r="G296" t="s">
        <v>32</v>
      </c>
      <c r="H296" t="s">
        <v>33</v>
      </c>
      <c r="I296" t="s">
        <v>541</v>
      </c>
      <c r="J296" t="s">
        <v>35</v>
      </c>
      <c r="K296" s="15">
        <v>20</v>
      </c>
      <c r="L296">
        <v>430</v>
      </c>
      <c r="M296">
        <v>8600</v>
      </c>
      <c r="N296" t="s">
        <v>26</v>
      </c>
      <c r="O296">
        <v>2018</v>
      </c>
      <c r="P296" t="s">
        <v>105</v>
      </c>
      <c r="Q296" t="s">
        <v>71</v>
      </c>
      <c r="R296" t="s">
        <v>72</v>
      </c>
    </row>
    <row r="297" spans="1:18" x14ac:dyDescent="0.35">
      <c r="A297" s="2" t="s">
        <v>682</v>
      </c>
      <c r="B297" s="3" t="s">
        <v>543</v>
      </c>
      <c r="C297" s="12" t="s">
        <v>544</v>
      </c>
      <c r="D297" s="3" t="s">
        <v>264</v>
      </c>
      <c r="E297" s="3">
        <v>50.816699999999997</v>
      </c>
      <c r="F297" s="3">
        <v>8.7667000000000002</v>
      </c>
      <c r="G297" s="3" t="s">
        <v>32</v>
      </c>
      <c r="H297" s="3" t="s">
        <v>33</v>
      </c>
      <c r="I297" s="3" t="s">
        <v>159</v>
      </c>
      <c r="J297" s="3" t="s">
        <v>47</v>
      </c>
      <c r="K297" s="16">
        <v>3</v>
      </c>
      <c r="L297" s="3">
        <v>26</v>
      </c>
      <c r="M297" s="3">
        <v>78</v>
      </c>
      <c r="N297" s="3" t="s">
        <v>350</v>
      </c>
      <c r="O297" s="3">
        <v>2017</v>
      </c>
      <c r="P297" s="3" t="s">
        <v>27</v>
      </c>
      <c r="Q297" s="3" t="s">
        <v>28</v>
      </c>
      <c r="R297" s="4" t="s">
        <v>29</v>
      </c>
    </row>
    <row r="298" spans="1:18" x14ac:dyDescent="0.35">
      <c r="A298" s="5" t="s">
        <v>682</v>
      </c>
      <c r="B298" s="6" t="s">
        <v>545</v>
      </c>
      <c r="C298" s="13" t="s">
        <v>546</v>
      </c>
      <c r="D298" s="6" t="s">
        <v>264</v>
      </c>
      <c r="E298" s="6">
        <v>52.411700000000003</v>
      </c>
      <c r="F298" s="6">
        <v>12.556100000000001</v>
      </c>
      <c r="G298" s="6" t="s">
        <v>22</v>
      </c>
      <c r="H298" s="6" t="s">
        <v>79</v>
      </c>
      <c r="I298" s="6" t="s">
        <v>245</v>
      </c>
      <c r="J298" s="6" t="s">
        <v>86</v>
      </c>
      <c r="K298" s="17">
        <v>20</v>
      </c>
      <c r="L298" s="6">
        <v>269</v>
      </c>
      <c r="M298" s="6">
        <v>5380</v>
      </c>
      <c r="N298" s="6" t="s">
        <v>350</v>
      </c>
      <c r="O298" s="6">
        <v>2017</v>
      </c>
      <c r="P298" s="6" t="s">
        <v>105</v>
      </c>
      <c r="Q298" s="6" t="s">
        <v>71</v>
      </c>
      <c r="R298" s="7" t="s">
        <v>72</v>
      </c>
    </row>
    <row r="299" spans="1:18" x14ac:dyDescent="0.35">
      <c r="A299" s="2" t="s">
        <v>682</v>
      </c>
      <c r="B299" s="3" t="s">
        <v>547</v>
      </c>
      <c r="C299" s="12" t="s">
        <v>548</v>
      </c>
      <c r="D299" s="3" t="s">
        <v>264</v>
      </c>
      <c r="E299" s="3">
        <v>50.1</v>
      </c>
      <c r="F299" s="3">
        <v>11.433299999999999</v>
      </c>
      <c r="G299" s="3" t="s">
        <v>32</v>
      </c>
      <c r="H299" s="3" t="s">
        <v>33</v>
      </c>
      <c r="I299" s="3" t="s">
        <v>473</v>
      </c>
      <c r="J299" s="3" t="s">
        <v>134</v>
      </c>
      <c r="K299" s="16">
        <v>10</v>
      </c>
      <c r="L299" s="3">
        <v>474</v>
      </c>
      <c r="M299" s="3">
        <v>4740</v>
      </c>
      <c r="N299" s="3" t="s">
        <v>350</v>
      </c>
      <c r="O299" s="3">
        <v>2017</v>
      </c>
      <c r="P299" s="3" t="s">
        <v>52</v>
      </c>
      <c r="Q299" s="3" t="s">
        <v>28</v>
      </c>
      <c r="R299" s="4" t="s">
        <v>29</v>
      </c>
    </row>
    <row r="300" spans="1:18" x14ac:dyDescent="0.35">
      <c r="A300" s="5" t="s">
        <v>682</v>
      </c>
      <c r="B300" s="6" t="s">
        <v>683</v>
      </c>
      <c r="C300" s="13" t="s">
        <v>550</v>
      </c>
      <c r="D300" s="6" t="s">
        <v>264</v>
      </c>
      <c r="E300" s="6">
        <v>49.3</v>
      </c>
      <c r="F300" s="6">
        <v>10.583299999999999</v>
      </c>
      <c r="G300" s="6" t="s">
        <v>22</v>
      </c>
      <c r="H300" s="6" t="s">
        <v>79</v>
      </c>
      <c r="I300" s="6" t="s">
        <v>188</v>
      </c>
      <c r="J300" s="6" t="s">
        <v>47</v>
      </c>
      <c r="K300" s="17">
        <v>10</v>
      </c>
      <c r="L300" s="6">
        <v>60</v>
      </c>
      <c r="M300" s="6">
        <v>600</v>
      </c>
      <c r="N300" s="6" t="s">
        <v>350</v>
      </c>
      <c r="O300" s="6">
        <v>2017</v>
      </c>
      <c r="P300" s="6" t="s">
        <v>41</v>
      </c>
      <c r="Q300" s="6" t="s">
        <v>42</v>
      </c>
      <c r="R300" s="7" t="s">
        <v>43</v>
      </c>
    </row>
    <row r="301" spans="1:18" x14ac:dyDescent="0.35">
      <c r="A301" s="2" t="s">
        <v>682</v>
      </c>
      <c r="B301" s="3" t="s">
        <v>551</v>
      </c>
      <c r="C301" s="12" t="s">
        <v>552</v>
      </c>
      <c r="D301" s="3" t="s">
        <v>264</v>
      </c>
      <c r="E301" s="3">
        <v>49.2</v>
      </c>
      <c r="F301" s="3">
        <v>7.6</v>
      </c>
      <c r="G301" s="3" t="s">
        <v>22</v>
      </c>
      <c r="H301" s="3" t="s">
        <v>79</v>
      </c>
      <c r="I301" s="3" t="s">
        <v>489</v>
      </c>
      <c r="J301" s="3" t="s">
        <v>95</v>
      </c>
      <c r="K301" s="16">
        <v>5</v>
      </c>
      <c r="L301" s="3">
        <v>726</v>
      </c>
      <c r="M301" s="3">
        <v>3630</v>
      </c>
      <c r="N301" s="3" t="s">
        <v>350</v>
      </c>
      <c r="O301" s="3">
        <v>2017</v>
      </c>
      <c r="P301" s="3" t="s">
        <v>105</v>
      </c>
      <c r="Q301" s="3" t="s">
        <v>71</v>
      </c>
      <c r="R301" s="4" t="s">
        <v>72</v>
      </c>
    </row>
    <row r="302" spans="1:18" x14ac:dyDescent="0.35">
      <c r="A302" s="5" t="s">
        <v>682</v>
      </c>
      <c r="B302" s="6" t="s">
        <v>684</v>
      </c>
      <c r="C302" s="13" t="s">
        <v>554</v>
      </c>
      <c r="D302" s="6" t="s">
        <v>264</v>
      </c>
      <c r="E302" s="6">
        <v>52.216700000000003</v>
      </c>
      <c r="F302" s="6">
        <v>8.9332999999999991</v>
      </c>
      <c r="G302" s="6" t="s">
        <v>22</v>
      </c>
      <c r="H302" s="6" t="s">
        <v>23</v>
      </c>
      <c r="I302" s="6" t="s">
        <v>162</v>
      </c>
      <c r="J302" s="6" t="s">
        <v>25</v>
      </c>
      <c r="K302" s="17">
        <v>10</v>
      </c>
      <c r="L302" s="6">
        <v>452</v>
      </c>
      <c r="M302" s="6">
        <v>4520</v>
      </c>
      <c r="N302" s="6" t="s">
        <v>350</v>
      </c>
      <c r="O302" s="6">
        <v>2017</v>
      </c>
      <c r="P302" s="6" t="s">
        <v>76</v>
      </c>
      <c r="Q302" s="6" t="s">
        <v>42</v>
      </c>
      <c r="R302" s="7" t="s">
        <v>43</v>
      </c>
    </row>
    <row r="303" spans="1:18" x14ac:dyDescent="0.35">
      <c r="A303" s="2" t="s">
        <v>682</v>
      </c>
      <c r="B303" s="3" t="s">
        <v>555</v>
      </c>
      <c r="C303" s="12" t="s">
        <v>556</v>
      </c>
      <c r="D303" s="3" t="s">
        <v>264</v>
      </c>
      <c r="E303" s="3">
        <v>51.937800000000003</v>
      </c>
      <c r="F303" s="3">
        <v>8.8833000000000002</v>
      </c>
      <c r="G303" s="3" t="s">
        <v>22</v>
      </c>
      <c r="H303" s="3" t="s">
        <v>79</v>
      </c>
      <c r="I303" s="3" t="s">
        <v>265</v>
      </c>
      <c r="J303" s="3" t="s">
        <v>134</v>
      </c>
      <c r="K303" s="16">
        <v>10</v>
      </c>
      <c r="L303" s="3">
        <v>713</v>
      </c>
      <c r="M303" s="3">
        <v>7130</v>
      </c>
      <c r="N303" s="3" t="s">
        <v>350</v>
      </c>
      <c r="O303" s="3">
        <v>2017</v>
      </c>
      <c r="P303" s="3" t="s">
        <v>27</v>
      </c>
      <c r="Q303" s="3" t="s">
        <v>28</v>
      </c>
      <c r="R303" s="4" t="s">
        <v>29</v>
      </c>
    </row>
    <row r="304" spans="1:18" x14ac:dyDescent="0.35">
      <c r="A304" s="5" t="s">
        <v>682</v>
      </c>
      <c r="B304" s="6" t="s">
        <v>557</v>
      </c>
      <c r="C304" s="13" t="s">
        <v>558</v>
      </c>
      <c r="D304" s="6" t="s">
        <v>264</v>
      </c>
      <c r="E304" s="6">
        <v>52.964700000000001</v>
      </c>
      <c r="F304" s="6">
        <v>10.565799999999999</v>
      </c>
      <c r="G304" s="6" t="s">
        <v>22</v>
      </c>
      <c r="H304" s="6" t="s">
        <v>79</v>
      </c>
      <c r="I304" s="6" t="s">
        <v>231</v>
      </c>
      <c r="J304" s="6" t="s">
        <v>134</v>
      </c>
      <c r="K304" s="17">
        <v>20</v>
      </c>
      <c r="L304" s="6">
        <v>206</v>
      </c>
      <c r="M304" s="6">
        <v>4120</v>
      </c>
      <c r="N304" s="6" t="s">
        <v>350</v>
      </c>
      <c r="O304" s="6">
        <v>2017</v>
      </c>
      <c r="P304" s="6" t="s">
        <v>119</v>
      </c>
      <c r="Q304" s="6" t="s">
        <v>71</v>
      </c>
      <c r="R304" s="7" t="s">
        <v>72</v>
      </c>
    </row>
    <row r="305" spans="1:18" x14ac:dyDescent="0.35">
      <c r="A305" s="2" t="s">
        <v>682</v>
      </c>
      <c r="B305" s="3" t="s">
        <v>559</v>
      </c>
      <c r="C305" s="12" t="s">
        <v>560</v>
      </c>
      <c r="D305" s="3" t="s">
        <v>264</v>
      </c>
      <c r="E305" s="3">
        <v>48.283299999999997</v>
      </c>
      <c r="F305" s="3">
        <v>9.7235999999999994</v>
      </c>
      <c r="G305" s="3" t="s">
        <v>32</v>
      </c>
      <c r="H305" s="3" t="s">
        <v>33</v>
      </c>
      <c r="I305" s="3" t="s">
        <v>561</v>
      </c>
      <c r="J305" s="3" t="s">
        <v>25</v>
      </c>
      <c r="K305" s="16">
        <v>20</v>
      </c>
      <c r="L305" s="3">
        <v>64</v>
      </c>
      <c r="M305" s="3"/>
      <c r="N305" s="3" t="s">
        <v>350</v>
      </c>
      <c r="O305" s="3">
        <v>2017</v>
      </c>
      <c r="P305" s="3" t="s">
        <v>41</v>
      </c>
      <c r="Q305" s="3" t="s">
        <v>42</v>
      </c>
      <c r="R305" s="4" t="s">
        <v>43</v>
      </c>
    </row>
    <row r="306" spans="1:18" x14ac:dyDescent="0.35">
      <c r="A306" s="5" t="s">
        <v>682</v>
      </c>
      <c r="B306" s="6" t="s">
        <v>685</v>
      </c>
      <c r="C306" s="13" t="s">
        <v>563</v>
      </c>
      <c r="D306" s="6" t="s">
        <v>264</v>
      </c>
      <c r="E306" s="6">
        <v>48.714399999999998</v>
      </c>
      <c r="F306" s="6">
        <v>8.7375000000000007</v>
      </c>
      <c r="G306" s="6" t="s">
        <v>22</v>
      </c>
      <c r="H306" s="6" t="s">
        <v>23</v>
      </c>
      <c r="I306" s="6" t="s">
        <v>75</v>
      </c>
      <c r="J306" s="6" t="s">
        <v>47</v>
      </c>
      <c r="K306" s="17">
        <v>5</v>
      </c>
      <c r="L306" s="6">
        <v>243</v>
      </c>
      <c r="M306" s="6"/>
      <c r="N306" s="6" t="s">
        <v>350</v>
      </c>
      <c r="O306" s="6">
        <v>2017</v>
      </c>
      <c r="P306" s="6" t="s">
        <v>41</v>
      </c>
      <c r="Q306" s="6" t="s">
        <v>42</v>
      </c>
      <c r="R306" s="7" t="s">
        <v>43</v>
      </c>
    </row>
    <row r="307" spans="1:18" x14ac:dyDescent="0.35">
      <c r="A307" s="2" t="s">
        <v>682</v>
      </c>
      <c r="B307" s="3" t="s">
        <v>564</v>
      </c>
      <c r="C307" s="12" t="s">
        <v>565</v>
      </c>
      <c r="D307" s="3" t="s">
        <v>264</v>
      </c>
      <c r="E307" s="3">
        <v>52.212499999999999</v>
      </c>
      <c r="F307" s="3">
        <v>7.0416999999999996</v>
      </c>
      <c r="G307" s="3" t="s">
        <v>32</v>
      </c>
      <c r="H307" s="3" t="s">
        <v>39</v>
      </c>
      <c r="I307" s="3" t="s">
        <v>90</v>
      </c>
      <c r="J307" s="3" t="s">
        <v>25</v>
      </c>
      <c r="K307" s="16">
        <v>10</v>
      </c>
      <c r="L307" s="3">
        <v>785</v>
      </c>
      <c r="M307" s="3"/>
      <c r="N307" s="3" t="s">
        <v>350</v>
      </c>
      <c r="O307" s="3">
        <v>2017</v>
      </c>
      <c r="P307" s="3" t="s">
        <v>82</v>
      </c>
      <c r="Q307" s="3" t="s">
        <v>58</v>
      </c>
      <c r="R307" s="4" t="s">
        <v>59</v>
      </c>
    </row>
    <row r="308" spans="1:18" x14ac:dyDescent="0.35">
      <c r="A308" s="5" t="s">
        <v>682</v>
      </c>
      <c r="B308" s="6" t="s">
        <v>566</v>
      </c>
      <c r="C308" s="13" t="s">
        <v>567</v>
      </c>
      <c r="D308" s="6" t="s">
        <v>264</v>
      </c>
      <c r="E308" s="6">
        <v>53.066699999999997</v>
      </c>
      <c r="F308" s="6">
        <v>7.4</v>
      </c>
      <c r="G308" s="6" t="s">
        <v>22</v>
      </c>
      <c r="H308" s="6" t="s">
        <v>23</v>
      </c>
      <c r="I308" s="6" t="s">
        <v>94</v>
      </c>
      <c r="J308" s="6" t="s">
        <v>95</v>
      </c>
      <c r="K308" s="17">
        <v>30</v>
      </c>
      <c r="L308" s="6">
        <v>286</v>
      </c>
      <c r="M308" s="6"/>
      <c r="N308" s="6" t="s">
        <v>350</v>
      </c>
      <c r="O308" s="6">
        <v>2017</v>
      </c>
      <c r="P308" s="6" t="s">
        <v>87</v>
      </c>
      <c r="Q308" s="6" t="s">
        <v>42</v>
      </c>
      <c r="R308" s="7" t="s">
        <v>43</v>
      </c>
    </row>
    <row r="309" spans="1:18" x14ac:dyDescent="0.35">
      <c r="A309" s="2" t="s">
        <v>682</v>
      </c>
      <c r="B309" s="3" t="s">
        <v>686</v>
      </c>
      <c r="C309" s="12" t="s">
        <v>569</v>
      </c>
      <c r="D309" s="3" t="s">
        <v>264</v>
      </c>
      <c r="E309" s="3">
        <v>51.666699999999999</v>
      </c>
      <c r="F309" s="3">
        <v>7.1166999999999998</v>
      </c>
      <c r="G309" s="3" t="s">
        <v>22</v>
      </c>
      <c r="H309" s="3" t="s">
        <v>23</v>
      </c>
      <c r="I309" s="3" t="s">
        <v>204</v>
      </c>
      <c r="J309" s="3" t="s">
        <v>25</v>
      </c>
      <c r="K309" s="16">
        <v>50</v>
      </c>
      <c r="L309" s="3">
        <v>99</v>
      </c>
      <c r="M309" s="3">
        <v>4950</v>
      </c>
      <c r="N309" s="3" t="s">
        <v>350</v>
      </c>
      <c r="O309" s="3">
        <v>2017</v>
      </c>
      <c r="P309" s="3" t="s">
        <v>36</v>
      </c>
      <c r="Q309" s="3" t="s">
        <v>28</v>
      </c>
      <c r="R309" s="4" t="s">
        <v>29</v>
      </c>
    </row>
    <row r="310" spans="1:18" x14ac:dyDescent="0.35">
      <c r="A310" s="5" t="s">
        <v>682</v>
      </c>
      <c r="B310" s="6" t="s">
        <v>570</v>
      </c>
      <c r="C310" s="13" t="s">
        <v>571</v>
      </c>
      <c r="D310" s="6" t="s">
        <v>264</v>
      </c>
      <c r="E310" s="6">
        <v>52.291699999999999</v>
      </c>
      <c r="F310" s="6">
        <v>13.625</v>
      </c>
      <c r="G310" s="6" t="s">
        <v>32</v>
      </c>
      <c r="H310" s="6" t="s">
        <v>33</v>
      </c>
      <c r="I310" s="6" t="s">
        <v>480</v>
      </c>
      <c r="J310" s="6" t="s">
        <v>35</v>
      </c>
      <c r="K310" s="17">
        <v>10</v>
      </c>
      <c r="L310" s="6">
        <v>688</v>
      </c>
      <c r="M310" s="6">
        <v>6880</v>
      </c>
      <c r="N310" s="6" t="s">
        <v>350</v>
      </c>
      <c r="O310" s="6">
        <v>2017</v>
      </c>
      <c r="P310" s="6" t="s">
        <v>76</v>
      </c>
      <c r="Q310" s="6" t="s">
        <v>42</v>
      </c>
      <c r="R310" s="7" t="s">
        <v>43</v>
      </c>
    </row>
    <row r="311" spans="1:18" x14ac:dyDescent="0.35">
      <c r="A311" s="2" t="s">
        <v>682</v>
      </c>
      <c r="B311" s="3" t="s">
        <v>572</v>
      </c>
      <c r="C311" s="12" t="s">
        <v>573</v>
      </c>
      <c r="D311" s="3" t="s">
        <v>264</v>
      </c>
      <c r="E311" s="3">
        <v>50.645000000000003</v>
      </c>
      <c r="F311" s="3">
        <v>7.2268999999999997</v>
      </c>
      <c r="G311" s="3" t="s">
        <v>32</v>
      </c>
      <c r="H311" s="3" t="s">
        <v>39</v>
      </c>
      <c r="I311" s="3" t="s">
        <v>574</v>
      </c>
      <c r="J311" s="3" t="s">
        <v>25</v>
      </c>
      <c r="K311" s="16">
        <v>-10</v>
      </c>
      <c r="L311" s="3">
        <v>187</v>
      </c>
      <c r="M311" s="3">
        <v>-1870</v>
      </c>
      <c r="N311" s="3" t="s">
        <v>350</v>
      </c>
      <c r="O311" s="3">
        <v>2017</v>
      </c>
      <c r="P311" s="3" t="s">
        <v>87</v>
      </c>
      <c r="Q311" s="3" t="s">
        <v>42</v>
      </c>
      <c r="R311" s="4" t="s">
        <v>43</v>
      </c>
    </row>
    <row r="312" spans="1:18" x14ac:dyDescent="0.35">
      <c r="A312" s="5" t="s">
        <v>682</v>
      </c>
      <c r="B312" s="6" t="s">
        <v>687</v>
      </c>
      <c r="C312" s="13" t="s">
        <v>576</v>
      </c>
      <c r="D312" s="6" t="s">
        <v>264</v>
      </c>
      <c r="E312" s="6">
        <v>48.631399999999999</v>
      </c>
      <c r="F312" s="6">
        <v>8.0739000000000001</v>
      </c>
      <c r="G312" s="6" t="s">
        <v>32</v>
      </c>
      <c r="H312" s="6" t="s">
        <v>33</v>
      </c>
      <c r="I312" s="6" t="s">
        <v>577</v>
      </c>
      <c r="J312" s="6" t="s">
        <v>25</v>
      </c>
      <c r="K312" s="17">
        <v>500</v>
      </c>
      <c r="L312" s="6">
        <v>180</v>
      </c>
      <c r="M312" s="6">
        <v>90000</v>
      </c>
      <c r="N312" s="6" t="s">
        <v>350</v>
      </c>
      <c r="O312" s="6">
        <v>2017</v>
      </c>
      <c r="P312" s="6" t="s">
        <v>82</v>
      </c>
      <c r="Q312" s="6" t="s">
        <v>58</v>
      </c>
      <c r="R312" s="7" t="s">
        <v>59</v>
      </c>
    </row>
    <row r="313" spans="1:18" x14ac:dyDescent="0.35">
      <c r="A313" s="2" t="s">
        <v>688</v>
      </c>
      <c r="B313" s="3" t="s">
        <v>689</v>
      </c>
      <c r="C313" s="12" t="s">
        <v>580</v>
      </c>
      <c r="D313" s="3" t="s">
        <v>264</v>
      </c>
      <c r="E313" s="3">
        <v>48.722799999999999</v>
      </c>
      <c r="F313" s="3">
        <v>9.2630999999999997</v>
      </c>
      <c r="G313" s="3" t="s">
        <v>22</v>
      </c>
      <c r="H313" s="3" t="s">
        <v>79</v>
      </c>
      <c r="I313" s="3" t="s">
        <v>104</v>
      </c>
      <c r="J313" s="3" t="s">
        <v>95</v>
      </c>
      <c r="K313" s="16">
        <v>20</v>
      </c>
      <c r="L313" s="3">
        <v>548</v>
      </c>
      <c r="M313" s="3">
        <v>10960</v>
      </c>
      <c r="N313" s="3" t="s">
        <v>690</v>
      </c>
      <c r="O313" s="3">
        <v>2017</v>
      </c>
      <c r="P313" s="3" t="s">
        <v>115</v>
      </c>
      <c r="Q313" s="3" t="s">
        <v>58</v>
      </c>
      <c r="R313" s="4" t="s">
        <v>59</v>
      </c>
    </row>
    <row r="314" spans="1:18" x14ac:dyDescent="0.35">
      <c r="A314" s="5" t="s">
        <v>688</v>
      </c>
      <c r="B314" s="6" t="s">
        <v>691</v>
      </c>
      <c r="C314" s="13" t="s">
        <v>582</v>
      </c>
      <c r="D314" s="6" t="s">
        <v>264</v>
      </c>
      <c r="E314" s="6">
        <v>51.08</v>
      </c>
      <c r="F314" s="6">
        <v>6.3155999999999999</v>
      </c>
      <c r="G314" s="6" t="s">
        <v>32</v>
      </c>
      <c r="H314" s="6" t="s">
        <v>33</v>
      </c>
      <c r="I314" s="6" t="s">
        <v>577</v>
      </c>
      <c r="J314" s="6" t="s">
        <v>25</v>
      </c>
      <c r="K314" s="17">
        <v>20</v>
      </c>
      <c r="L314" s="6">
        <v>180</v>
      </c>
      <c r="M314" s="6">
        <v>3600</v>
      </c>
      <c r="N314" s="6" t="s">
        <v>350</v>
      </c>
      <c r="O314" s="6">
        <v>2017</v>
      </c>
      <c r="P314" s="6" t="s">
        <v>115</v>
      </c>
      <c r="Q314" s="6" t="s">
        <v>58</v>
      </c>
      <c r="R314" s="7" t="s">
        <v>59</v>
      </c>
    </row>
    <row r="315" spans="1:18" x14ac:dyDescent="0.35">
      <c r="A315" s="2" t="s">
        <v>688</v>
      </c>
      <c r="B315" s="3" t="s">
        <v>583</v>
      </c>
      <c r="C315" s="12" t="s">
        <v>584</v>
      </c>
      <c r="D315" s="3" t="s">
        <v>264</v>
      </c>
      <c r="E315" s="3">
        <v>52.666699999999999</v>
      </c>
      <c r="F315" s="3">
        <v>8.2385999999999999</v>
      </c>
      <c r="G315" s="3" t="s">
        <v>22</v>
      </c>
      <c r="H315" s="3" t="s">
        <v>79</v>
      </c>
      <c r="I315" s="3" t="s">
        <v>374</v>
      </c>
      <c r="J315" s="3" t="s">
        <v>86</v>
      </c>
      <c r="K315" s="16">
        <v>10</v>
      </c>
      <c r="L315" s="3">
        <v>535</v>
      </c>
      <c r="M315" s="3">
        <v>5350</v>
      </c>
      <c r="N315" s="3" t="s">
        <v>350</v>
      </c>
      <c r="O315" s="3">
        <v>2017</v>
      </c>
      <c r="P315" s="3" t="s">
        <v>119</v>
      </c>
      <c r="Q315" s="3" t="s">
        <v>71</v>
      </c>
      <c r="R315" s="4" t="s">
        <v>72</v>
      </c>
    </row>
    <row r="316" spans="1:18" x14ac:dyDescent="0.35">
      <c r="A316" s="5" t="s">
        <v>688</v>
      </c>
      <c r="B316" s="6" t="s">
        <v>585</v>
      </c>
      <c r="C316" s="13" t="s">
        <v>586</v>
      </c>
      <c r="D316" s="6" t="s">
        <v>264</v>
      </c>
      <c r="E316" s="6">
        <v>49.7517</v>
      </c>
      <c r="F316" s="6">
        <v>8.1160999999999994</v>
      </c>
      <c r="G316" s="6" t="s">
        <v>22</v>
      </c>
      <c r="H316" s="6" t="s">
        <v>79</v>
      </c>
      <c r="I316" s="6" t="s">
        <v>292</v>
      </c>
      <c r="J316" s="6" t="s">
        <v>47</v>
      </c>
      <c r="K316" s="17">
        <v>20</v>
      </c>
      <c r="L316" s="6">
        <v>298</v>
      </c>
      <c r="M316" s="6">
        <v>5960</v>
      </c>
      <c r="N316" s="6" t="s">
        <v>692</v>
      </c>
      <c r="O316" s="6">
        <v>2017</v>
      </c>
      <c r="P316" s="6" t="s">
        <v>52</v>
      </c>
      <c r="Q316" s="6" t="s">
        <v>28</v>
      </c>
      <c r="R316" s="7" t="s">
        <v>29</v>
      </c>
    </row>
    <row r="317" spans="1:18" x14ac:dyDescent="0.35">
      <c r="A317" s="2" t="s">
        <v>688</v>
      </c>
      <c r="B317" s="3" t="s">
        <v>693</v>
      </c>
      <c r="C317" s="12" t="s">
        <v>588</v>
      </c>
      <c r="D317" s="3" t="s">
        <v>264</v>
      </c>
      <c r="E317" s="3">
        <v>49.681100000000001</v>
      </c>
      <c r="F317" s="3">
        <v>8.6227999999999998</v>
      </c>
      <c r="G317" s="3" t="s">
        <v>32</v>
      </c>
      <c r="H317" s="3" t="s">
        <v>33</v>
      </c>
      <c r="I317" s="3" t="s">
        <v>148</v>
      </c>
      <c r="J317" s="3" t="s">
        <v>86</v>
      </c>
      <c r="K317" s="16">
        <v>20</v>
      </c>
      <c r="L317" s="3">
        <v>692</v>
      </c>
      <c r="M317" s="3">
        <v>13840</v>
      </c>
      <c r="N317" s="3" t="s">
        <v>350</v>
      </c>
      <c r="O317" s="3">
        <v>2017</v>
      </c>
      <c r="P317" s="3" t="s">
        <v>82</v>
      </c>
      <c r="Q317" s="3" t="s">
        <v>58</v>
      </c>
      <c r="R317" s="4" t="s">
        <v>59</v>
      </c>
    </row>
    <row r="318" spans="1:18" x14ac:dyDescent="0.35">
      <c r="A318" t="s">
        <v>682</v>
      </c>
      <c r="B318" t="s">
        <v>589</v>
      </c>
      <c r="C318" s="11" t="s">
        <v>590</v>
      </c>
      <c r="D318" t="s">
        <v>264</v>
      </c>
      <c r="E318">
        <v>48.283299999999997</v>
      </c>
      <c r="F318">
        <v>11.566700000000001</v>
      </c>
      <c r="G318" t="s">
        <v>32</v>
      </c>
      <c r="H318" t="s">
        <v>33</v>
      </c>
      <c r="I318" t="s">
        <v>345</v>
      </c>
      <c r="J318" t="s">
        <v>35</v>
      </c>
      <c r="K318" s="15">
        <v>5</v>
      </c>
      <c r="L318">
        <v>773</v>
      </c>
      <c r="M318">
        <v>3865</v>
      </c>
      <c r="N318" t="s">
        <v>343</v>
      </c>
      <c r="O318">
        <v>2017</v>
      </c>
      <c r="P318" t="s">
        <v>27</v>
      </c>
      <c r="Q318" t="s">
        <v>28</v>
      </c>
      <c r="R318" t="s">
        <v>29</v>
      </c>
    </row>
    <row r="319" spans="1:18" x14ac:dyDescent="0.35">
      <c r="A319" t="s">
        <v>682</v>
      </c>
      <c r="B319" t="s">
        <v>591</v>
      </c>
      <c r="C319" s="11" t="s">
        <v>592</v>
      </c>
      <c r="D319" t="s">
        <v>264</v>
      </c>
      <c r="E319">
        <v>49.537999999999997</v>
      </c>
      <c r="F319">
        <v>8.5792000000000002</v>
      </c>
      <c r="G319" t="s">
        <v>32</v>
      </c>
      <c r="H319" t="s">
        <v>39</v>
      </c>
      <c r="I319" t="s">
        <v>593</v>
      </c>
      <c r="J319" t="s">
        <v>86</v>
      </c>
      <c r="K319" s="15">
        <v>2</v>
      </c>
      <c r="L319">
        <v>22</v>
      </c>
      <c r="M319">
        <v>44</v>
      </c>
      <c r="N319" t="s">
        <v>343</v>
      </c>
      <c r="O319">
        <v>2017</v>
      </c>
      <c r="P319" t="s">
        <v>105</v>
      </c>
      <c r="Q319" t="s">
        <v>71</v>
      </c>
      <c r="R319" t="s">
        <v>72</v>
      </c>
    </row>
    <row r="320" spans="1:18" x14ac:dyDescent="0.35">
      <c r="A320" t="s">
        <v>682</v>
      </c>
      <c r="B320" t="s">
        <v>594</v>
      </c>
      <c r="C320" s="11" t="s">
        <v>595</v>
      </c>
      <c r="D320" t="s">
        <v>264</v>
      </c>
      <c r="E320">
        <v>52.625599999999999</v>
      </c>
      <c r="F320">
        <v>10.0825</v>
      </c>
      <c r="G320" t="s">
        <v>32</v>
      </c>
      <c r="H320" t="s">
        <v>33</v>
      </c>
      <c r="I320" t="s">
        <v>494</v>
      </c>
      <c r="J320" t="s">
        <v>86</v>
      </c>
      <c r="K320" s="15">
        <v>500</v>
      </c>
      <c r="L320">
        <v>469</v>
      </c>
      <c r="M320">
        <v>234500</v>
      </c>
      <c r="N320" t="s">
        <v>343</v>
      </c>
      <c r="O320">
        <v>2017</v>
      </c>
      <c r="P320" t="s">
        <v>41</v>
      </c>
      <c r="Q320" t="s">
        <v>42</v>
      </c>
      <c r="R320" t="s">
        <v>43</v>
      </c>
    </row>
    <row r="321" spans="1:18" x14ac:dyDescent="0.35">
      <c r="A321" t="s">
        <v>682</v>
      </c>
      <c r="B321" t="s">
        <v>596</v>
      </c>
      <c r="C321" s="11" t="s">
        <v>597</v>
      </c>
      <c r="D321" t="s">
        <v>264</v>
      </c>
      <c r="E321">
        <v>51.867100000000001</v>
      </c>
      <c r="F321">
        <v>12.648400000000001</v>
      </c>
      <c r="G321" t="s">
        <v>22</v>
      </c>
      <c r="H321" t="s">
        <v>23</v>
      </c>
      <c r="I321" t="s">
        <v>401</v>
      </c>
      <c r="J321" t="s">
        <v>47</v>
      </c>
      <c r="K321" s="15">
        <v>5</v>
      </c>
      <c r="L321">
        <v>113</v>
      </c>
      <c r="M321">
        <v>565</v>
      </c>
      <c r="N321" t="s">
        <v>26</v>
      </c>
      <c r="O321">
        <v>2017</v>
      </c>
      <c r="P321" t="s">
        <v>76</v>
      </c>
      <c r="Q321" t="s">
        <v>42</v>
      </c>
      <c r="R321" t="s">
        <v>43</v>
      </c>
    </row>
    <row r="322" spans="1:18" x14ac:dyDescent="0.35">
      <c r="A322" t="s">
        <v>682</v>
      </c>
      <c r="B322" t="s">
        <v>598</v>
      </c>
      <c r="C322" s="11" t="s">
        <v>599</v>
      </c>
      <c r="D322" t="s">
        <v>264</v>
      </c>
      <c r="E322">
        <v>50.654699999999998</v>
      </c>
      <c r="F322">
        <v>12.1997</v>
      </c>
      <c r="G322" t="s">
        <v>22</v>
      </c>
      <c r="H322" t="s">
        <v>79</v>
      </c>
      <c r="I322" t="s">
        <v>125</v>
      </c>
      <c r="J322" t="s">
        <v>35</v>
      </c>
      <c r="K322" s="15">
        <v>4</v>
      </c>
      <c r="L322">
        <v>215</v>
      </c>
      <c r="M322">
        <v>860</v>
      </c>
      <c r="N322" t="s">
        <v>343</v>
      </c>
      <c r="O322">
        <v>2017</v>
      </c>
      <c r="P322" t="s">
        <v>87</v>
      </c>
      <c r="Q322" t="s">
        <v>42</v>
      </c>
      <c r="R322" t="s">
        <v>43</v>
      </c>
    </row>
    <row r="323" spans="1:18" x14ac:dyDescent="0.35">
      <c r="A323" t="s">
        <v>682</v>
      </c>
      <c r="B323" t="s">
        <v>600</v>
      </c>
      <c r="C323" s="11" t="s">
        <v>601</v>
      </c>
      <c r="D323" t="s">
        <v>264</v>
      </c>
      <c r="E323">
        <v>51.216700000000003</v>
      </c>
      <c r="F323">
        <v>10.45</v>
      </c>
      <c r="G323" t="s">
        <v>32</v>
      </c>
      <c r="H323" t="s">
        <v>33</v>
      </c>
      <c r="I323" t="s">
        <v>532</v>
      </c>
      <c r="J323" t="s">
        <v>25</v>
      </c>
      <c r="K323" s="15">
        <v>3</v>
      </c>
      <c r="L323">
        <v>682</v>
      </c>
      <c r="M323">
        <v>2046</v>
      </c>
      <c r="N323" t="s">
        <v>81</v>
      </c>
      <c r="O323">
        <v>2017</v>
      </c>
      <c r="P323" t="s">
        <v>70</v>
      </c>
      <c r="Q323" t="s">
        <v>71</v>
      </c>
      <c r="R323" t="s">
        <v>72</v>
      </c>
    </row>
    <row r="324" spans="1:18" x14ac:dyDescent="0.35">
      <c r="A324" t="s">
        <v>682</v>
      </c>
      <c r="B324" t="s">
        <v>602</v>
      </c>
      <c r="C324" s="11" t="s">
        <v>603</v>
      </c>
      <c r="D324" t="s">
        <v>264</v>
      </c>
      <c r="E324">
        <v>51.171399999999998</v>
      </c>
      <c r="F324">
        <v>6.9394</v>
      </c>
      <c r="G324" t="s">
        <v>32</v>
      </c>
      <c r="H324" t="s">
        <v>33</v>
      </c>
      <c r="I324" t="s">
        <v>446</v>
      </c>
      <c r="J324" t="s">
        <v>86</v>
      </c>
      <c r="K324" s="15">
        <v>10</v>
      </c>
      <c r="L324">
        <v>785</v>
      </c>
      <c r="M324">
        <v>7850</v>
      </c>
      <c r="N324" t="s">
        <v>51</v>
      </c>
      <c r="O324">
        <v>2017</v>
      </c>
      <c r="P324" t="s">
        <v>76</v>
      </c>
      <c r="Q324" t="s">
        <v>42</v>
      </c>
      <c r="R324" t="s">
        <v>43</v>
      </c>
    </row>
    <row r="325" spans="1:18" x14ac:dyDescent="0.35">
      <c r="A325" t="s">
        <v>682</v>
      </c>
      <c r="B325" t="s">
        <v>604</v>
      </c>
      <c r="C325" s="11" t="s">
        <v>605</v>
      </c>
      <c r="D325" t="s">
        <v>264</v>
      </c>
      <c r="E325">
        <v>49.989600000000003</v>
      </c>
      <c r="F325">
        <v>8.5661000000000005</v>
      </c>
      <c r="G325" t="s">
        <v>22</v>
      </c>
      <c r="H325" t="s">
        <v>23</v>
      </c>
      <c r="I325" t="s">
        <v>529</v>
      </c>
      <c r="J325" t="s">
        <v>47</v>
      </c>
      <c r="K325" s="15">
        <v>40</v>
      </c>
      <c r="L325">
        <v>323</v>
      </c>
      <c r="M325">
        <v>12920</v>
      </c>
      <c r="N325" t="s">
        <v>343</v>
      </c>
      <c r="O325">
        <v>2017</v>
      </c>
      <c r="P325" t="s">
        <v>82</v>
      </c>
      <c r="Q325" t="s">
        <v>58</v>
      </c>
      <c r="R325" t="s">
        <v>59</v>
      </c>
    </row>
    <row r="326" spans="1:18" x14ac:dyDescent="0.35">
      <c r="A326" t="s">
        <v>682</v>
      </c>
      <c r="B326" t="s">
        <v>606</v>
      </c>
      <c r="C326" s="11" t="s">
        <v>607</v>
      </c>
      <c r="D326" t="s">
        <v>264</v>
      </c>
      <c r="E326">
        <v>50.984999999999999</v>
      </c>
      <c r="F326">
        <v>12.433299999999999</v>
      </c>
      <c r="G326" t="s">
        <v>22</v>
      </c>
      <c r="H326" t="s">
        <v>79</v>
      </c>
      <c r="I326" t="s">
        <v>427</v>
      </c>
      <c r="J326" t="s">
        <v>35</v>
      </c>
      <c r="K326" s="15">
        <v>2</v>
      </c>
      <c r="L326">
        <v>664</v>
      </c>
      <c r="M326">
        <v>1328</v>
      </c>
      <c r="N326" t="s">
        <v>343</v>
      </c>
      <c r="O326">
        <v>2017</v>
      </c>
      <c r="P326" t="s">
        <v>63</v>
      </c>
      <c r="Q326" t="s">
        <v>28</v>
      </c>
      <c r="R326" t="s">
        <v>29</v>
      </c>
    </row>
    <row r="327" spans="1:18" x14ac:dyDescent="0.35">
      <c r="A327" t="s">
        <v>682</v>
      </c>
      <c r="B327" t="s">
        <v>694</v>
      </c>
      <c r="C327" s="11" t="s">
        <v>609</v>
      </c>
      <c r="D327" t="s">
        <v>264</v>
      </c>
      <c r="E327">
        <v>47.561100000000003</v>
      </c>
      <c r="F327">
        <v>7.7916999999999996</v>
      </c>
      <c r="G327" t="s">
        <v>22</v>
      </c>
      <c r="H327" t="s">
        <v>23</v>
      </c>
      <c r="I327" t="s">
        <v>610</v>
      </c>
      <c r="J327" t="s">
        <v>95</v>
      </c>
      <c r="K327" s="15">
        <v>5</v>
      </c>
      <c r="L327">
        <v>663</v>
      </c>
      <c r="M327">
        <v>3315</v>
      </c>
      <c r="N327" t="s">
        <v>343</v>
      </c>
      <c r="O327">
        <v>2017</v>
      </c>
      <c r="P327" t="s">
        <v>76</v>
      </c>
      <c r="Q327" t="s">
        <v>42</v>
      </c>
      <c r="R327" t="s">
        <v>43</v>
      </c>
    </row>
    <row r="328" spans="1:18" x14ac:dyDescent="0.35">
      <c r="A328" t="s">
        <v>682</v>
      </c>
      <c r="B328" t="s">
        <v>611</v>
      </c>
      <c r="C328" s="11" t="s">
        <v>612</v>
      </c>
      <c r="D328" t="s">
        <v>264</v>
      </c>
      <c r="E328">
        <v>48.933300000000003</v>
      </c>
      <c r="F328">
        <v>8.4</v>
      </c>
      <c r="G328" t="s">
        <v>22</v>
      </c>
      <c r="H328" t="s">
        <v>79</v>
      </c>
      <c r="I328" t="s">
        <v>613</v>
      </c>
      <c r="J328" t="s">
        <v>25</v>
      </c>
      <c r="K328" s="15">
        <v>5</v>
      </c>
      <c r="L328">
        <v>678</v>
      </c>
      <c r="M328">
        <v>3390</v>
      </c>
      <c r="N328" t="s">
        <v>185</v>
      </c>
      <c r="O328">
        <v>2017</v>
      </c>
      <c r="P328" t="s">
        <v>52</v>
      </c>
      <c r="Q328" t="s">
        <v>28</v>
      </c>
      <c r="R328" t="s">
        <v>29</v>
      </c>
    </row>
    <row r="329" spans="1:18" x14ac:dyDescent="0.35">
      <c r="A329" t="s">
        <v>682</v>
      </c>
      <c r="B329" t="s">
        <v>614</v>
      </c>
      <c r="C329" s="11" t="s">
        <v>615</v>
      </c>
      <c r="D329" t="s">
        <v>264</v>
      </c>
      <c r="E329">
        <v>51.219799999999999</v>
      </c>
      <c r="F329">
        <v>7.6273</v>
      </c>
      <c r="G329" t="s">
        <v>22</v>
      </c>
      <c r="H329" t="s">
        <v>23</v>
      </c>
      <c r="I329" t="s">
        <v>616</v>
      </c>
      <c r="J329" t="s">
        <v>134</v>
      </c>
      <c r="K329" s="15">
        <v>10</v>
      </c>
      <c r="L329">
        <v>459</v>
      </c>
      <c r="M329">
        <v>4590</v>
      </c>
      <c r="N329" t="s">
        <v>343</v>
      </c>
      <c r="O329">
        <v>2017</v>
      </c>
      <c r="P329" t="s">
        <v>52</v>
      </c>
      <c r="Q329" t="s">
        <v>28</v>
      </c>
      <c r="R329" t="s">
        <v>29</v>
      </c>
    </row>
    <row r="330" spans="1:18" x14ac:dyDescent="0.35">
      <c r="A330" t="s">
        <v>682</v>
      </c>
      <c r="B330" t="s">
        <v>617</v>
      </c>
      <c r="C330" s="11" t="s">
        <v>618</v>
      </c>
      <c r="D330" t="s">
        <v>264</v>
      </c>
      <c r="E330">
        <v>50.383299999999998</v>
      </c>
      <c r="F330">
        <v>8.0667000000000009</v>
      </c>
      <c r="G330" t="s">
        <v>32</v>
      </c>
      <c r="H330" t="s">
        <v>33</v>
      </c>
      <c r="I330" t="s">
        <v>515</v>
      </c>
      <c r="J330" t="s">
        <v>134</v>
      </c>
      <c r="K330" s="15">
        <v>3</v>
      </c>
      <c r="L330">
        <v>705</v>
      </c>
      <c r="M330">
        <v>2115</v>
      </c>
      <c r="N330" t="s">
        <v>343</v>
      </c>
      <c r="O330">
        <v>2017</v>
      </c>
      <c r="P330" t="s">
        <v>115</v>
      </c>
      <c r="Q330" t="s">
        <v>58</v>
      </c>
      <c r="R330" t="s">
        <v>59</v>
      </c>
    </row>
    <row r="331" spans="1:18" x14ac:dyDescent="0.35">
      <c r="A331" t="s">
        <v>682</v>
      </c>
      <c r="B331" t="s">
        <v>619</v>
      </c>
      <c r="C331" s="11" t="s">
        <v>620</v>
      </c>
      <c r="D331" t="s">
        <v>264</v>
      </c>
      <c r="E331">
        <v>51.526400000000002</v>
      </c>
      <c r="F331">
        <v>12.342499999999999</v>
      </c>
      <c r="G331" t="s">
        <v>32</v>
      </c>
      <c r="H331" t="s">
        <v>33</v>
      </c>
      <c r="I331" t="s">
        <v>381</v>
      </c>
      <c r="J331" t="s">
        <v>25</v>
      </c>
      <c r="K331" s="15">
        <v>20</v>
      </c>
      <c r="L331">
        <v>361</v>
      </c>
      <c r="M331">
        <v>7220</v>
      </c>
      <c r="N331" t="s">
        <v>144</v>
      </c>
      <c r="O331">
        <v>2017</v>
      </c>
      <c r="P331" t="s">
        <v>63</v>
      </c>
      <c r="Q331" t="s">
        <v>28</v>
      </c>
      <c r="R331" t="s">
        <v>29</v>
      </c>
    </row>
    <row r="332" spans="1:18" x14ac:dyDescent="0.35">
      <c r="A332" t="s">
        <v>682</v>
      </c>
      <c r="B332" t="s">
        <v>621</v>
      </c>
      <c r="C332" s="11" t="s">
        <v>622</v>
      </c>
      <c r="D332" t="s">
        <v>264</v>
      </c>
      <c r="E332">
        <v>53.25</v>
      </c>
      <c r="F332">
        <v>7.9166999999999996</v>
      </c>
      <c r="G332" t="s">
        <v>22</v>
      </c>
      <c r="H332" t="s">
        <v>79</v>
      </c>
      <c r="I332" t="s">
        <v>623</v>
      </c>
      <c r="J332" t="s">
        <v>35</v>
      </c>
      <c r="K332" s="15">
        <v>7</v>
      </c>
      <c r="L332">
        <v>549</v>
      </c>
      <c r="M332">
        <v>3843</v>
      </c>
      <c r="N332" t="s">
        <v>343</v>
      </c>
      <c r="O332">
        <v>2017</v>
      </c>
      <c r="P332" t="s">
        <v>87</v>
      </c>
      <c r="Q332" t="s">
        <v>42</v>
      </c>
      <c r="R332" t="s">
        <v>43</v>
      </c>
    </row>
    <row r="333" spans="1:18" x14ac:dyDescent="0.35">
      <c r="A333" t="s">
        <v>682</v>
      </c>
      <c r="B333" t="s">
        <v>624</v>
      </c>
      <c r="C333" s="11" t="s">
        <v>625</v>
      </c>
      <c r="D333" t="s">
        <v>264</v>
      </c>
      <c r="E333">
        <v>49.921399999999998</v>
      </c>
      <c r="F333">
        <v>8.4817999999999998</v>
      </c>
      <c r="G333" t="s">
        <v>22</v>
      </c>
      <c r="H333" t="s">
        <v>79</v>
      </c>
      <c r="I333" t="s">
        <v>227</v>
      </c>
      <c r="J333" t="s">
        <v>86</v>
      </c>
      <c r="K333" s="15">
        <v>2</v>
      </c>
      <c r="L333">
        <v>373</v>
      </c>
      <c r="M333">
        <v>746</v>
      </c>
      <c r="N333" t="s">
        <v>343</v>
      </c>
      <c r="O333">
        <v>2017</v>
      </c>
      <c r="P333" t="s">
        <v>119</v>
      </c>
      <c r="Q333" t="s">
        <v>71</v>
      </c>
      <c r="R333" t="s">
        <v>72</v>
      </c>
    </row>
    <row r="334" spans="1:18" x14ac:dyDescent="0.35">
      <c r="A334" t="s">
        <v>682</v>
      </c>
      <c r="B334" t="s">
        <v>695</v>
      </c>
      <c r="C334" s="11" t="s">
        <v>627</v>
      </c>
      <c r="D334" t="s">
        <v>264</v>
      </c>
      <c r="E334">
        <v>49.323599999999999</v>
      </c>
      <c r="F334">
        <v>12.099299999999999</v>
      </c>
      <c r="G334" t="s">
        <v>32</v>
      </c>
      <c r="H334" t="s">
        <v>33</v>
      </c>
      <c r="I334" t="s">
        <v>628</v>
      </c>
      <c r="J334" t="s">
        <v>95</v>
      </c>
      <c r="K334" s="15">
        <v>-45</v>
      </c>
      <c r="L334">
        <v>303</v>
      </c>
      <c r="M334">
        <v>-13635</v>
      </c>
      <c r="N334" t="s">
        <v>343</v>
      </c>
      <c r="O334">
        <v>2017</v>
      </c>
      <c r="P334" t="s">
        <v>57</v>
      </c>
      <c r="Q334" t="s">
        <v>58</v>
      </c>
      <c r="R334" t="s">
        <v>59</v>
      </c>
    </row>
    <row r="335" spans="1:18" x14ac:dyDescent="0.35">
      <c r="A335" t="s">
        <v>682</v>
      </c>
      <c r="B335" t="s">
        <v>629</v>
      </c>
      <c r="C335" s="11" t="s">
        <v>630</v>
      </c>
      <c r="D335" t="s">
        <v>264</v>
      </c>
      <c r="E335">
        <v>50.833300000000001</v>
      </c>
      <c r="F335">
        <v>12.916700000000001</v>
      </c>
      <c r="G335" t="s">
        <v>22</v>
      </c>
      <c r="H335" t="s">
        <v>79</v>
      </c>
      <c r="I335" t="s">
        <v>628</v>
      </c>
      <c r="J335" t="s">
        <v>95</v>
      </c>
      <c r="K335" s="15">
        <v>-72</v>
      </c>
      <c r="L335">
        <v>303</v>
      </c>
      <c r="M335">
        <v>-21816</v>
      </c>
      <c r="N335" t="s">
        <v>343</v>
      </c>
      <c r="O335">
        <v>2017</v>
      </c>
      <c r="P335" t="s">
        <v>70</v>
      </c>
      <c r="Q335" t="s">
        <v>71</v>
      </c>
      <c r="R335" t="s">
        <v>72</v>
      </c>
    </row>
    <row r="336" spans="1:18" x14ac:dyDescent="0.35">
      <c r="A336" t="s">
        <v>682</v>
      </c>
      <c r="B336" t="s">
        <v>631</v>
      </c>
      <c r="C336" s="11" t="s">
        <v>632</v>
      </c>
      <c r="D336" t="s">
        <v>264</v>
      </c>
      <c r="E336">
        <v>51.238599999999998</v>
      </c>
      <c r="F336">
        <v>12.725300000000001</v>
      </c>
      <c r="G336" t="s">
        <v>22</v>
      </c>
      <c r="H336" t="s">
        <v>23</v>
      </c>
      <c r="I336" t="s">
        <v>140</v>
      </c>
      <c r="J336" t="s">
        <v>134</v>
      </c>
      <c r="K336" s="15">
        <v>117</v>
      </c>
      <c r="L336">
        <v>511</v>
      </c>
      <c r="M336">
        <v>59787</v>
      </c>
      <c r="N336" t="s">
        <v>56</v>
      </c>
      <c r="O336">
        <v>2017</v>
      </c>
      <c r="P336" t="s">
        <v>70</v>
      </c>
      <c r="Q336" t="s">
        <v>71</v>
      </c>
      <c r="R336" t="s">
        <v>72</v>
      </c>
    </row>
    <row r="337" spans="1:18" x14ac:dyDescent="0.35">
      <c r="A337" t="s">
        <v>682</v>
      </c>
      <c r="B337" t="s">
        <v>633</v>
      </c>
      <c r="C337" s="11" t="s">
        <v>634</v>
      </c>
      <c r="D337" t="s">
        <v>264</v>
      </c>
      <c r="E337">
        <v>48.8</v>
      </c>
      <c r="F337">
        <v>9.5333000000000006</v>
      </c>
      <c r="G337" t="s">
        <v>32</v>
      </c>
      <c r="H337" t="s">
        <v>39</v>
      </c>
      <c r="I337" t="s">
        <v>236</v>
      </c>
      <c r="J337" t="s">
        <v>86</v>
      </c>
      <c r="K337" s="15">
        <v>3</v>
      </c>
      <c r="L337">
        <v>26</v>
      </c>
      <c r="M337">
        <v>78</v>
      </c>
      <c r="N337" t="s">
        <v>343</v>
      </c>
      <c r="O337">
        <v>2017</v>
      </c>
      <c r="P337" t="s">
        <v>63</v>
      </c>
      <c r="Q337" t="s">
        <v>28</v>
      </c>
      <c r="R337" t="s">
        <v>29</v>
      </c>
    </row>
    <row r="338" spans="1:18" x14ac:dyDescent="0.35">
      <c r="C338" s="11"/>
      <c r="K338" s="1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C5717-AF34-45F7-A4ED-57A1A04DA389}">
  <dimension ref="A1:T337"/>
  <sheetViews>
    <sheetView topLeftCell="E1" workbookViewId="0">
      <selection activeCell="H326" sqref="H326"/>
    </sheetView>
  </sheetViews>
  <sheetFormatPr defaultRowHeight="14.5" x14ac:dyDescent="0.35"/>
  <cols>
    <col min="1" max="1" width="18.26953125" bestFit="1" customWidth="1"/>
    <col min="2" max="2" width="51.90625" bestFit="1" customWidth="1"/>
    <col min="3" max="3" width="23.7265625" bestFit="1" customWidth="1"/>
    <col min="4" max="4" width="9.81640625" bestFit="1" customWidth="1"/>
    <col min="5" max="5" width="10" bestFit="1" customWidth="1"/>
    <col min="6" max="6" width="11.36328125" bestFit="1" customWidth="1"/>
    <col min="7" max="7" width="9.90625" bestFit="1" customWidth="1"/>
    <col min="8" max="8" width="13.36328125" bestFit="1" customWidth="1"/>
    <col min="9" max="9" width="23.54296875" bestFit="1" customWidth="1"/>
    <col min="10" max="10" width="14.7265625" bestFit="1" customWidth="1"/>
    <col min="11" max="11" width="10.453125" bestFit="1" customWidth="1"/>
    <col min="12" max="12" width="7.1796875" bestFit="1" customWidth="1"/>
    <col min="13" max="13" width="7.26953125" bestFit="1" customWidth="1"/>
    <col min="14" max="14" width="12.453125" bestFit="1" customWidth="1"/>
    <col min="15" max="15" width="23.54296875" bestFit="1" customWidth="1"/>
    <col min="16" max="16" width="9.90625" bestFit="1" customWidth="1"/>
    <col min="17" max="17" width="6.81640625" bestFit="1" customWidth="1"/>
    <col min="18" max="18" width="18.54296875" bestFit="1" customWidth="1"/>
    <col min="19" max="19" width="13.81640625" bestFit="1" customWidth="1"/>
    <col min="20" max="20" width="12.36328125" customWidth="1"/>
  </cols>
  <sheetData>
    <row r="1" spans="1:20" x14ac:dyDescent="0.35">
      <c r="A1" t="s">
        <v>0</v>
      </c>
      <c r="B1" t="s">
        <v>1</v>
      </c>
      <c r="C1" t="s">
        <v>2</v>
      </c>
      <c r="D1" t="s">
        <v>3</v>
      </c>
      <c r="E1" t="s">
        <v>4</v>
      </c>
      <c r="F1" t="s">
        <v>5</v>
      </c>
      <c r="G1" t="s">
        <v>6</v>
      </c>
      <c r="H1" t="s">
        <v>7</v>
      </c>
      <c r="I1" t="s">
        <v>8</v>
      </c>
      <c r="J1" t="s">
        <v>9</v>
      </c>
      <c r="K1" t="s">
        <v>10</v>
      </c>
      <c r="L1" t="s">
        <v>11</v>
      </c>
      <c r="M1" t="s">
        <v>12</v>
      </c>
      <c r="N1" t="s">
        <v>698</v>
      </c>
      <c r="O1" t="s">
        <v>700</v>
      </c>
      <c r="P1" t="s">
        <v>13</v>
      </c>
      <c r="Q1" t="s">
        <v>14</v>
      </c>
      <c r="R1" t="s">
        <v>15</v>
      </c>
      <c r="S1" t="s">
        <v>16</v>
      </c>
      <c r="T1" t="s">
        <v>17</v>
      </c>
    </row>
    <row r="2" spans="1:20" x14ac:dyDescent="0.35">
      <c r="A2" t="s">
        <v>18</v>
      </c>
      <c r="B2" t="s">
        <v>19</v>
      </c>
      <c r="C2" t="s">
        <v>20</v>
      </c>
      <c r="D2" t="s">
        <v>21</v>
      </c>
      <c r="E2">
        <v>51.2333</v>
      </c>
      <c r="F2">
        <v>22.566700000000001</v>
      </c>
      <c r="G2" t="s">
        <v>22</v>
      </c>
      <c r="H2" t="s">
        <v>23</v>
      </c>
      <c r="I2" t="s">
        <v>24</v>
      </c>
      <c r="J2" t="s">
        <v>25</v>
      </c>
      <c r="K2">
        <v>4</v>
      </c>
      <c r="L2">
        <v>368</v>
      </c>
      <c r="M2">
        <v>1472</v>
      </c>
      <c r="N2">
        <v>1472</v>
      </c>
      <c r="O2">
        <v>0</v>
      </c>
      <c r="P2" t="s">
        <v>26</v>
      </c>
      <c r="Q2">
        <v>2018</v>
      </c>
      <c r="R2" t="s">
        <v>27</v>
      </c>
      <c r="S2" t="s">
        <v>28</v>
      </c>
      <c r="T2" t="s">
        <v>29</v>
      </c>
    </row>
    <row r="3" spans="1:20" x14ac:dyDescent="0.35">
      <c r="A3" t="s">
        <v>18</v>
      </c>
      <c r="B3" t="s">
        <v>30</v>
      </c>
      <c r="C3" t="s">
        <v>31</v>
      </c>
      <c r="D3" t="s">
        <v>21</v>
      </c>
      <c r="E3">
        <v>53.416699999999999</v>
      </c>
      <c r="F3">
        <v>18.433299999999999</v>
      </c>
      <c r="G3" t="s">
        <v>32</v>
      </c>
      <c r="H3" t="s">
        <v>33</v>
      </c>
      <c r="I3" t="s">
        <v>34</v>
      </c>
      <c r="J3" t="s">
        <v>35</v>
      </c>
      <c r="K3">
        <v>7</v>
      </c>
      <c r="L3">
        <v>591</v>
      </c>
      <c r="M3">
        <v>4137</v>
      </c>
      <c r="N3">
        <v>4137</v>
      </c>
      <c r="O3">
        <v>0</v>
      </c>
      <c r="P3" t="s">
        <v>26</v>
      </c>
      <c r="Q3">
        <v>2018</v>
      </c>
      <c r="R3" t="s">
        <v>36</v>
      </c>
      <c r="S3" t="s">
        <v>28</v>
      </c>
      <c r="T3" t="s">
        <v>29</v>
      </c>
    </row>
    <row r="4" spans="1:20" x14ac:dyDescent="0.35">
      <c r="A4" t="s">
        <v>18</v>
      </c>
      <c r="B4" t="s">
        <v>37</v>
      </c>
      <c r="C4" t="s">
        <v>38</v>
      </c>
      <c r="D4" t="s">
        <v>21</v>
      </c>
      <c r="E4">
        <v>50.083300000000001</v>
      </c>
      <c r="F4">
        <v>18.5</v>
      </c>
      <c r="G4" t="s">
        <v>32</v>
      </c>
      <c r="H4" t="s">
        <v>39</v>
      </c>
      <c r="I4" t="s">
        <v>40</v>
      </c>
      <c r="J4" t="s">
        <v>35</v>
      </c>
      <c r="K4">
        <v>30</v>
      </c>
      <c r="L4">
        <v>66</v>
      </c>
      <c r="M4">
        <v>1980</v>
      </c>
      <c r="N4">
        <v>1980</v>
      </c>
      <c r="O4">
        <v>0</v>
      </c>
      <c r="P4" t="s">
        <v>26</v>
      </c>
      <c r="Q4">
        <v>2018</v>
      </c>
      <c r="R4" t="s">
        <v>41</v>
      </c>
      <c r="S4" t="s">
        <v>42</v>
      </c>
      <c r="T4" t="s">
        <v>43</v>
      </c>
    </row>
    <row r="5" spans="1:20" x14ac:dyDescent="0.35">
      <c r="A5" t="s">
        <v>18</v>
      </c>
      <c r="B5" t="s">
        <v>44</v>
      </c>
      <c r="C5" t="s">
        <v>45</v>
      </c>
      <c r="D5" t="s">
        <v>21</v>
      </c>
      <c r="E5">
        <v>50.333300000000001</v>
      </c>
      <c r="F5">
        <v>19.083300000000001</v>
      </c>
      <c r="G5" t="s">
        <v>22</v>
      </c>
      <c r="H5" t="s">
        <v>23</v>
      </c>
      <c r="I5" t="s">
        <v>46</v>
      </c>
      <c r="J5" t="s">
        <v>47</v>
      </c>
      <c r="K5">
        <v>6</v>
      </c>
      <c r="L5">
        <v>435</v>
      </c>
      <c r="M5">
        <v>2610</v>
      </c>
      <c r="N5">
        <v>2610</v>
      </c>
      <c r="O5">
        <v>0</v>
      </c>
      <c r="P5" t="s">
        <v>26</v>
      </c>
      <c r="Q5">
        <v>2018</v>
      </c>
      <c r="R5" t="s">
        <v>27</v>
      </c>
      <c r="S5" t="s">
        <v>28</v>
      </c>
      <c r="T5" t="s">
        <v>29</v>
      </c>
    </row>
    <row r="6" spans="1:20" x14ac:dyDescent="0.35">
      <c r="A6" t="s">
        <v>18</v>
      </c>
      <c r="B6" t="s">
        <v>48</v>
      </c>
      <c r="C6" t="s">
        <v>49</v>
      </c>
      <c r="D6" t="s">
        <v>21</v>
      </c>
      <c r="E6">
        <v>53.78</v>
      </c>
      <c r="F6">
        <v>20.494199999999999</v>
      </c>
      <c r="G6" t="s">
        <v>32</v>
      </c>
      <c r="H6" t="s">
        <v>33</v>
      </c>
      <c r="I6" t="s">
        <v>50</v>
      </c>
      <c r="J6" t="s">
        <v>47</v>
      </c>
      <c r="K6">
        <v>20</v>
      </c>
      <c r="L6">
        <v>458</v>
      </c>
      <c r="M6">
        <v>9160</v>
      </c>
      <c r="N6">
        <v>9160</v>
      </c>
      <c r="O6">
        <v>0</v>
      </c>
      <c r="P6" t="s">
        <v>51</v>
      </c>
      <c r="Q6">
        <v>2018</v>
      </c>
      <c r="R6" t="s">
        <v>52</v>
      </c>
      <c r="S6" t="s">
        <v>28</v>
      </c>
      <c r="T6" t="s">
        <v>29</v>
      </c>
    </row>
    <row r="7" spans="1:20" x14ac:dyDescent="0.35">
      <c r="A7" t="s">
        <v>18</v>
      </c>
      <c r="B7" t="s">
        <v>53</v>
      </c>
      <c r="C7" t="s">
        <v>54</v>
      </c>
      <c r="D7" t="s">
        <v>21</v>
      </c>
      <c r="E7">
        <v>54.033299999999997</v>
      </c>
      <c r="F7">
        <v>22.5</v>
      </c>
      <c r="G7" t="s">
        <v>22</v>
      </c>
      <c r="H7" t="s">
        <v>23</v>
      </c>
      <c r="I7" t="s">
        <v>55</v>
      </c>
      <c r="J7" t="s">
        <v>25</v>
      </c>
      <c r="K7">
        <v>5</v>
      </c>
      <c r="L7">
        <v>123</v>
      </c>
      <c r="M7">
        <v>615</v>
      </c>
      <c r="N7">
        <v>615</v>
      </c>
      <c r="O7">
        <v>0</v>
      </c>
      <c r="P7" t="s">
        <v>56</v>
      </c>
      <c r="Q7">
        <v>2018</v>
      </c>
      <c r="R7" t="s">
        <v>57</v>
      </c>
      <c r="S7" t="s">
        <v>58</v>
      </c>
      <c r="T7" t="s">
        <v>59</v>
      </c>
    </row>
    <row r="8" spans="1:20" x14ac:dyDescent="0.35">
      <c r="A8" t="s">
        <v>18</v>
      </c>
      <c r="B8" t="s">
        <v>60</v>
      </c>
      <c r="C8" t="s">
        <v>61</v>
      </c>
      <c r="D8" t="s">
        <v>21</v>
      </c>
      <c r="E8">
        <v>52.7958</v>
      </c>
      <c r="F8">
        <v>18.261099999999999</v>
      </c>
      <c r="G8" t="s">
        <v>32</v>
      </c>
      <c r="H8" t="s">
        <v>33</v>
      </c>
      <c r="I8" t="s">
        <v>62</v>
      </c>
      <c r="J8" t="s">
        <v>47</v>
      </c>
      <c r="K8">
        <v>20</v>
      </c>
      <c r="L8">
        <v>536</v>
      </c>
      <c r="M8">
        <v>10720</v>
      </c>
      <c r="N8">
        <v>10720</v>
      </c>
      <c r="O8">
        <v>0</v>
      </c>
      <c r="P8" t="s">
        <v>26</v>
      </c>
      <c r="Q8">
        <v>2018</v>
      </c>
      <c r="R8" t="s">
        <v>63</v>
      </c>
      <c r="S8" t="s">
        <v>28</v>
      </c>
      <c r="T8" t="s">
        <v>29</v>
      </c>
    </row>
    <row r="9" spans="1:20" x14ac:dyDescent="0.35">
      <c r="A9" t="s">
        <v>18</v>
      </c>
      <c r="B9" t="s">
        <v>64</v>
      </c>
      <c r="C9" t="s">
        <v>65</v>
      </c>
      <c r="D9" t="s">
        <v>21</v>
      </c>
      <c r="E9">
        <v>52.881700000000002</v>
      </c>
      <c r="F9">
        <v>20.610600000000002</v>
      </c>
      <c r="G9" t="s">
        <v>32</v>
      </c>
      <c r="H9" t="s">
        <v>33</v>
      </c>
      <c r="I9" t="s">
        <v>66</v>
      </c>
      <c r="J9" t="s">
        <v>25</v>
      </c>
      <c r="K9">
        <v>5</v>
      </c>
      <c r="L9">
        <v>742</v>
      </c>
      <c r="M9">
        <v>3710</v>
      </c>
      <c r="N9">
        <v>3710</v>
      </c>
      <c r="O9">
        <v>0</v>
      </c>
      <c r="P9" t="s">
        <v>26</v>
      </c>
      <c r="Q9">
        <v>2018</v>
      </c>
      <c r="R9" t="s">
        <v>27</v>
      </c>
      <c r="S9" t="s">
        <v>28</v>
      </c>
      <c r="T9" t="s">
        <v>29</v>
      </c>
    </row>
    <row r="10" spans="1:20" x14ac:dyDescent="0.35">
      <c r="A10" t="s">
        <v>18</v>
      </c>
      <c r="B10" t="s">
        <v>67</v>
      </c>
      <c r="C10" t="s">
        <v>68</v>
      </c>
      <c r="D10" t="s">
        <v>21</v>
      </c>
      <c r="E10">
        <v>53.3583</v>
      </c>
      <c r="F10">
        <v>20.425000000000001</v>
      </c>
      <c r="G10" t="s">
        <v>22</v>
      </c>
      <c r="H10" t="s">
        <v>23</v>
      </c>
      <c r="I10" t="s">
        <v>69</v>
      </c>
      <c r="J10" t="s">
        <v>25</v>
      </c>
      <c r="K10">
        <v>4</v>
      </c>
      <c r="L10">
        <v>551</v>
      </c>
      <c r="M10">
        <v>2204</v>
      </c>
      <c r="N10">
        <v>2204</v>
      </c>
      <c r="O10">
        <v>0</v>
      </c>
      <c r="P10" t="s">
        <v>26</v>
      </c>
      <c r="Q10">
        <v>2018</v>
      </c>
      <c r="R10" t="s">
        <v>70</v>
      </c>
      <c r="S10" t="s">
        <v>71</v>
      </c>
      <c r="T10" t="s">
        <v>72</v>
      </c>
    </row>
    <row r="11" spans="1:20" x14ac:dyDescent="0.35">
      <c r="A11" t="s">
        <v>18</v>
      </c>
      <c r="B11" t="s">
        <v>73</v>
      </c>
      <c r="C11" t="s">
        <v>74</v>
      </c>
      <c r="D11" t="s">
        <v>21</v>
      </c>
      <c r="E11">
        <v>50.061399999999999</v>
      </c>
      <c r="F11">
        <v>19.937200000000001</v>
      </c>
      <c r="G11" t="s">
        <v>22</v>
      </c>
      <c r="H11" t="s">
        <v>23</v>
      </c>
      <c r="I11" t="s">
        <v>75</v>
      </c>
      <c r="J11" t="s">
        <v>47</v>
      </c>
      <c r="K11">
        <v>10</v>
      </c>
      <c r="L11">
        <v>243</v>
      </c>
      <c r="M11">
        <v>2430</v>
      </c>
      <c r="N11">
        <v>2430</v>
      </c>
      <c r="O11">
        <v>0</v>
      </c>
      <c r="P11" t="s">
        <v>26</v>
      </c>
      <c r="Q11">
        <v>2018</v>
      </c>
      <c r="R11" t="s">
        <v>76</v>
      </c>
      <c r="S11" t="s">
        <v>42</v>
      </c>
      <c r="T11" t="s">
        <v>43</v>
      </c>
    </row>
    <row r="12" spans="1:20" x14ac:dyDescent="0.35">
      <c r="A12" t="s">
        <v>18</v>
      </c>
      <c r="B12" t="s">
        <v>77</v>
      </c>
      <c r="C12" t="s">
        <v>78</v>
      </c>
      <c r="D12" t="s">
        <v>21</v>
      </c>
      <c r="E12">
        <v>51.95</v>
      </c>
      <c r="F12">
        <v>14.7333</v>
      </c>
      <c r="G12" t="s">
        <v>22</v>
      </c>
      <c r="H12" t="s">
        <v>79</v>
      </c>
      <c r="I12" t="s">
        <v>80</v>
      </c>
      <c r="J12" t="s">
        <v>25</v>
      </c>
      <c r="K12">
        <v>35</v>
      </c>
      <c r="L12">
        <v>762</v>
      </c>
      <c r="M12">
        <v>26670</v>
      </c>
      <c r="N12">
        <v>26670</v>
      </c>
      <c r="O12">
        <v>0</v>
      </c>
      <c r="P12" t="s">
        <v>81</v>
      </c>
      <c r="Q12">
        <v>2018</v>
      </c>
      <c r="R12" t="s">
        <v>82</v>
      </c>
      <c r="S12" t="s">
        <v>58</v>
      </c>
      <c r="T12" t="s">
        <v>59</v>
      </c>
    </row>
    <row r="13" spans="1:20" x14ac:dyDescent="0.35">
      <c r="A13" t="s">
        <v>18</v>
      </c>
      <c r="B13" t="s">
        <v>83</v>
      </c>
      <c r="C13" t="s">
        <v>84</v>
      </c>
      <c r="D13" t="s">
        <v>21</v>
      </c>
      <c r="E13">
        <v>52.8</v>
      </c>
      <c r="F13">
        <v>21.9</v>
      </c>
      <c r="G13" t="s">
        <v>32</v>
      </c>
      <c r="H13" t="s">
        <v>39</v>
      </c>
      <c r="I13" t="s">
        <v>85</v>
      </c>
      <c r="J13" t="s">
        <v>86</v>
      </c>
      <c r="K13">
        <v>4</v>
      </c>
      <c r="L13">
        <v>249</v>
      </c>
      <c r="M13">
        <v>996</v>
      </c>
      <c r="N13">
        <v>996</v>
      </c>
      <c r="O13">
        <v>0</v>
      </c>
      <c r="P13" t="s">
        <v>26</v>
      </c>
      <c r="Q13">
        <v>2018</v>
      </c>
      <c r="R13" t="s">
        <v>87</v>
      </c>
      <c r="S13" t="s">
        <v>42</v>
      </c>
      <c r="T13" t="s">
        <v>43</v>
      </c>
    </row>
    <row r="14" spans="1:20" x14ac:dyDescent="0.35">
      <c r="A14" t="s">
        <v>18</v>
      </c>
      <c r="B14" t="s">
        <v>88</v>
      </c>
      <c r="C14" t="s">
        <v>89</v>
      </c>
      <c r="D14" t="s">
        <v>21</v>
      </c>
      <c r="E14">
        <v>51.403599999999997</v>
      </c>
      <c r="F14">
        <v>21.156700000000001</v>
      </c>
      <c r="G14" t="s">
        <v>22</v>
      </c>
      <c r="H14" t="s">
        <v>23</v>
      </c>
      <c r="I14" t="s">
        <v>90</v>
      </c>
      <c r="J14" t="s">
        <v>25</v>
      </c>
      <c r="K14">
        <v>5</v>
      </c>
      <c r="L14">
        <v>785</v>
      </c>
      <c r="M14">
        <v>3925</v>
      </c>
      <c r="N14">
        <v>3925</v>
      </c>
      <c r="O14">
        <v>0</v>
      </c>
      <c r="P14" t="s">
        <v>91</v>
      </c>
      <c r="Q14">
        <v>2018</v>
      </c>
      <c r="R14" t="s">
        <v>87</v>
      </c>
      <c r="S14" t="s">
        <v>42</v>
      </c>
      <c r="T14" t="s">
        <v>43</v>
      </c>
    </row>
    <row r="15" spans="1:20" x14ac:dyDescent="0.35">
      <c r="A15" t="s">
        <v>18</v>
      </c>
      <c r="B15" t="s">
        <v>92</v>
      </c>
      <c r="C15" t="s">
        <v>93</v>
      </c>
      <c r="D15" t="s">
        <v>21</v>
      </c>
      <c r="E15">
        <v>54.366700000000002</v>
      </c>
      <c r="F15">
        <v>18.633299999999998</v>
      </c>
      <c r="G15" t="s">
        <v>32</v>
      </c>
      <c r="H15" t="s">
        <v>33</v>
      </c>
      <c r="I15" t="s">
        <v>94</v>
      </c>
      <c r="J15" t="s">
        <v>95</v>
      </c>
      <c r="K15">
        <v>6</v>
      </c>
      <c r="L15">
        <v>286</v>
      </c>
      <c r="M15">
        <v>1716</v>
      </c>
      <c r="N15">
        <v>1716</v>
      </c>
      <c r="O15">
        <v>0</v>
      </c>
      <c r="P15" t="s">
        <v>81</v>
      </c>
      <c r="Q15">
        <v>2018</v>
      </c>
      <c r="R15" t="s">
        <v>36</v>
      </c>
      <c r="S15" t="s">
        <v>28</v>
      </c>
      <c r="T15" t="s">
        <v>29</v>
      </c>
    </row>
    <row r="16" spans="1:20" x14ac:dyDescent="0.35">
      <c r="A16" t="s">
        <v>18</v>
      </c>
      <c r="B16" t="s">
        <v>96</v>
      </c>
      <c r="C16" t="s">
        <v>97</v>
      </c>
      <c r="D16" t="s">
        <v>21</v>
      </c>
      <c r="E16">
        <v>50.45</v>
      </c>
      <c r="F16">
        <v>18.866700000000002</v>
      </c>
      <c r="G16" t="s">
        <v>22</v>
      </c>
      <c r="H16" t="s">
        <v>23</v>
      </c>
      <c r="I16" t="s">
        <v>98</v>
      </c>
      <c r="J16" t="s">
        <v>95</v>
      </c>
      <c r="K16">
        <v>7</v>
      </c>
      <c r="L16">
        <v>487</v>
      </c>
      <c r="M16">
        <v>3409</v>
      </c>
      <c r="N16">
        <v>3409</v>
      </c>
      <c r="O16">
        <v>0</v>
      </c>
      <c r="P16" t="s">
        <v>26</v>
      </c>
      <c r="Q16">
        <v>2018</v>
      </c>
      <c r="R16" t="s">
        <v>52</v>
      </c>
      <c r="S16" t="s">
        <v>28</v>
      </c>
      <c r="T16" t="s">
        <v>29</v>
      </c>
    </row>
    <row r="17" spans="1:20" x14ac:dyDescent="0.35">
      <c r="A17" t="s">
        <v>18</v>
      </c>
      <c r="B17" t="s">
        <v>99</v>
      </c>
      <c r="C17" t="s">
        <v>100</v>
      </c>
      <c r="D17" t="s">
        <v>21</v>
      </c>
      <c r="E17">
        <v>50.15</v>
      </c>
      <c r="F17">
        <v>18.833300000000001</v>
      </c>
      <c r="G17" t="s">
        <v>22</v>
      </c>
      <c r="H17" t="s">
        <v>23</v>
      </c>
      <c r="I17" t="s">
        <v>101</v>
      </c>
      <c r="J17" t="s">
        <v>47</v>
      </c>
      <c r="K17">
        <v>5</v>
      </c>
      <c r="L17">
        <v>605</v>
      </c>
      <c r="M17">
        <v>3025</v>
      </c>
      <c r="N17">
        <v>3025</v>
      </c>
      <c r="O17">
        <v>0</v>
      </c>
      <c r="P17" t="s">
        <v>26</v>
      </c>
      <c r="Q17">
        <v>2018</v>
      </c>
      <c r="R17" t="s">
        <v>76</v>
      </c>
      <c r="S17" t="s">
        <v>42</v>
      </c>
      <c r="T17" t="s">
        <v>43</v>
      </c>
    </row>
    <row r="18" spans="1:20" x14ac:dyDescent="0.35">
      <c r="A18" t="s">
        <v>18</v>
      </c>
      <c r="B18" t="s">
        <v>102</v>
      </c>
      <c r="C18" t="s">
        <v>103</v>
      </c>
      <c r="D18" t="s">
        <v>21</v>
      </c>
      <c r="E18">
        <v>52.8</v>
      </c>
      <c r="F18">
        <v>17.2</v>
      </c>
      <c r="G18" t="s">
        <v>22</v>
      </c>
      <c r="H18" t="s">
        <v>23</v>
      </c>
      <c r="I18" t="s">
        <v>104</v>
      </c>
      <c r="J18" t="s">
        <v>95</v>
      </c>
      <c r="K18">
        <v>5</v>
      </c>
      <c r="L18">
        <v>548</v>
      </c>
      <c r="M18">
        <v>2740</v>
      </c>
      <c r="N18">
        <v>2740</v>
      </c>
      <c r="O18">
        <v>0</v>
      </c>
      <c r="P18" t="s">
        <v>91</v>
      </c>
      <c r="Q18">
        <v>2018</v>
      </c>
      <c r="R18" t="s">
        <v>105</v>
      </c>
      <c r="S18" t="s">
        <v>71</v>
      </c>
      <c r="T18" t="s">
        <v>72</v>
      </c>
    </row>
    <row r="19" spans="1:20" x14ac:dyDescent="0.35">
      <c r="A19" t="s">
        <v>18</v>
      </c>
      <c r="B19" t="s">
        <v>106</v>
      </c>
      <c r="C19" t="s">
        <v>107</v>
      </c>
      <c r="D19" t="s">
        <v>21</v>
      </c>
      <c r="E19">
        <v>51.116700000000002</v>
      </c>
      <c r="F19">
        <v>15.583299999999999</v>
      </c>
      <c r="G19" t="s">
        <v>22</v>
      </c>
      <c r="H19" t="s">
        <v>23</v>
      </c>
      <c r="I19" t="s">
        <v>108</v>
      </c>
      <c r="J19" t="s">
        <v>86</v>
      </c>
      <c r="K19">
        <v>30</v>
      </c>
      <c r="L19">
        <v>288</v>
      </c>
      <c r="M19">
        <v>8640</v>
      </c>
      <c r="N19">
        <v>8640</v>
      </c>
      <c r="O19">
        <v>0</v>
      </c>
      <c r="P19" t="s">
        <v>26</v>
      </c>
      <c r="Q19">
        <v>2018</v>
      </c>
      <c r="R19" t="s">
        <v>76</v>
      </c>
      <c r="S19" t="s">
        <v>42</v>
      </c>
      <c r="T19" t="s">
        <v>43</v>
      </c>
    </row>
    <row r="20" spans="1:20" x14ac:dyDescent="0.35">
      <c r="A20" t="s">
        <v>18</v>
      </c>
      <c r="B20" t="s">
        <v>109</v>
      </c>
      <c r="C20" t="s">
        <v>110</v>
      </c>
      <c r="D20" t="s">
        <v>21</v>
      </c>
      <c r="E20">
        <v>51.126399999999997</v>
      </c>
      <c r="F20">
        <v>15.9198</v>
      </c>
      <c r="G20" t="s">
        <v>32</v>
      </c>
      <c r="H20" t="s">
        <v>39</v>
      </c>
      <c r="I20" t="s">
        <v>111</v>
      </c>
      <c r="J20" t="s">
        <v>47</v>
      </c>
      <c r="K20">
        <v>2</v>
      </c>
      <c r="L20">
        <v>414</v>
      </c>
      <c r="M20">
        <v>828</v>
      </c>
      <c r="N20">
        <v>828</v>
      </c>
      <c r="O20">
        <v>0</v>
      </c>
      <c r="P20" t="s">
        <v>26</v>
      </c>
      <c r="Q20">
        <v>2018</v>
      </c>
      <c r="R20" t="s">
        <v>52</v>
      </c>
      <c r="S20" t="s">
        <v>28</v>
      </c>
      <c r="T20" t="s">
        <v>29</v>
      </c>
    </row>
    <row r="21" spans="1:20" x14ac:dyDescent="0.35">
      <c r="A21" t="s">
        <v>18</v>
      </c>
      <c r="B21" t="s">
        <v>112</v>
      </c>
      <c r="C21" t="s">
        <v>113</v>
      </c>
      <c r="D21" t="s">
        <v>21</v>
      </c>
      <c r="E21">
        <v>53.864699999999999</v>
      </c>
      <c r="F21">
        <v>20.956900000000001</v>
      </c>
      <c r="G21" t="s">
        <v>32</v>
      </c>
      <c r="H21" t="s">
        <v>33</v>
      </c>
      <c r="I21" t="s">
        <v>114</v>
      </c>
      <c r="J21" t="s">
        <v>86</v>
      </c>
      <c r="K21">
        <v>2</v>
      </c>
      <c r="L21">
        <v>307</v>
      </c>
      <c r="M21">
        <v>614</v>
      </c>
      <c r="N21">
        <v>614</v>
      </c>
      <c r="O21">
        <v>0</v>
      </c>
      <c r="P21" t="s">
        <v>26</v>
      </c>
      <c r="Q21">
        <v>2018</v>
      </c>
      <c r="R21" t="s">
        <v>115</v>
      </c>
      <c r="S21" t="s">
        <v>58</v>
      </c>
      <c r="T21" t="s">
        <v>59</v>
      </c>
    </row>
    <row r="22" spans="1:20" x14ac:dyDescent="0.35">
      <c r="A22" t="s">
        <v>18</v>
      </c>
      <c r="B22" t="s">
        <v>116</v>
      </c>
      <c r="C22" t="s">
        <v>117</v>
      </c>
      <c r="D22" t="s">
        <v>21</v>
      </c>
      <c r="E22">
        <v>50.55</v>
      </c>
      <c r="F22">
        <v>22.7333</v>
      </c>
      <c r="G22" t="s">
        <v>32</v>
      </c>
      <c r="H22" t="s">
        <v>39</v>
      </c>
      <c r="I22" t="s">
        <v>118</v>
      </c>
      <c r="J22" t="s">
        <v>95</v>
      </c>
      <c r="K22">
        <v>5</v>
      </c>
      <c r="L22">
        <v>421</v>
      </c>
      <c r="M22">
        <v>2105</v>
      </c>
      <c r="N22">
        <v>2105</v>
      </c>
      <c r="O22">
        <v>0</v>
      </c>
      <c r="P22" t="s">
        <v>51</v>
      </c>
      <c r="Q22">
        <v>2018</v>
      </c>
      <c r="R22" t="s">
        <v>119</v>
      </c>
      <c r="S22" t="s">
        <v>71</v>
      </c>
      <c r="T22" t="s">
        <v>72</v>
      </c>
    </row>
    <row r="23" spans="1:20" x14ac:dyDescent="0.35">
      <c r="A23" t="s">
        <v>18</v>
      </c>
      <c r="B23" t="s">
        <v>120</v>
      </c>
      <c r="C23" t="s">
        <v>121</v>
      </c>
      <c r="D23" t="s">
        <v>21</v>
      </c>
      <c r="E23">
        <v>53.833300000000001</v>
      </c>
      <c r="F23">
        <v>18.833300000000001</v>
      </c>
      <c r="G23" t="s">
        <v>32</v>
      </c>
      <c r="H23" t="s">
        <v>33</v>
      </c>
      <c r="I23" t="s">
        <v>122</v>
      </c>
      <c r="J23" t="s">
        <v>86</v>
      </c>
      <c r="K23">
        <v>20</v>
      </c>
      <c r="L23">
        <v>765</v>
      </c>
      <c r="M23">
        <v>15300</v>
      </c>
      <c r="N23">
        <v>15300</v>
      </c>
      <c r="O23">
        <v>0</v>
      </c>
      <c r="P23" t="s">
        <v>26</v>
      </c>
      <c r="Q23">
        <v>2018</v>
      </c>
      <c r="R23" t="s">
        <v>87</v>
      </c>
      <c r="S23" t="s">
        <v>42</v>
      </c>
      <c r="T23" t="s">
        <v>43</v>
      </c>
    </row>
    <row r="24" spans="1:20" x14ac:dyDescent="0.35">
      <c r="A24" t="s">
        <v>18</v>
      </c>
      <c r="B24" t="s">
        <v>123</v>
      </c>
      <c r="C24" t="s">
        <v>124</v>
      </c>
      <c r="D24" t="s">
        <v>21</v>
      </c>
      <c r="E24">
        <v>51.2667</v>
      </c>
      <c r="F24">
        <v>15.566700000000001</v>
      </c>
      <c r="G24" t="s">
        <v>32</v>
      </c>
      <c r="H24" t="s">
        <v>33</v>
      </c>
      <c r="I24" t="s">
        <v>125</v>
      </c>
      <c r="J24" t="s">
        <v>35</v>
      </c>
      <c r="K24">
        <v>5</v>
      </c>
      <c r="L24">
        <v>215</v>
      </c>
      <c r="M24">
        <v>1075</v>
      </c>
      <c r="N24">
        <v>1075</v>
      </c>
      <c r="O24">
        <v>0</v>
      </c>
      <c r="P24" t="s">
        <v>26</v>
      </c>
      <c r="Q24">
        <v>2018</v>
      </c>
      <c r="R24" t="s">
        <v>36</v>
      </c>
      <c r="S24" t="s">
        <v>28</v>
      </c>
      <c r="T24" t="s">
        <v>29</v>
      </c>
    </row>
    <row r="25" spans="1:20" x14ac:dyDescent="0.35">
      <c r="A25" t="s">
        <v>18</v>
      </c>
      <c r="B25" t="s">
        <v>126</v>
      </c>
      <c r="C25" t="s">
        <v>127</v>
      </c>
      <c r="D25" t="s">
        <v>21</v>
      </c>
      <c r="E25">
        <v>50.843800000000002</v>
      </c>
      <c r="F25">
        <v>16.488600000000002</v>
      </c>
      <c r="G25" t="s">
        <v>32</v>
      </c>
      <c r="H25" t="s">
        <v>39</v>
      </c>
      <c r="I25" t="s">
        <v>128</v>
      </c>
      <c r="J25" t="s">
        <v>86</v>
      </c>
      <c r="K25">
        <v>26</v>
      </c>
      <c r="L25">
        <v>689</v>
      </c>
      <c r="M25">
        <v>17914</v>
      </c>
      <c r="N25">
        <v>17914</v>
      </c>
      <c r="O25">
        <v>0</v>
      </c>
      <c r="P25" t="s">
        <v>26</v>
      </c>
      <c r="Q25">
        <v>2018</v>
      </c>
      <c r="R25" t="s">
        <v>76</v>
      </c>
      <c r="S25" t="s">
        <v>42</v>
      </c>
      <c r="T25" t="s">
        <v>43</v>
      </c>
    </row>
    <row r="26" spans="1:20" x14ac:dyDescent="0.35">
      <c r="A26" t="s">
        <v>18</v>
      </c>
      <c r="B26" t="s">
        <v>129</v>
      </c>
      <c r="C26" t="s">
        <v>130</v>
      </c>
      <c r="D26" t="s">
        <v>21</v>
      </c>
      <c r="E26">
        <v>52.183300000000003</v>
      </c>
      <c r="F26">
        <v>20.85</v>
      </c>
      <c r="G26" t="s">
        <v>22</v>
      </c>
      <c r="H26" t="s">
        <v>23</v>
      </c>
      <c r="I26" t="s">
        <v>55</v>
      </c>
      <c r="J26" t="s">
        <v>25</v>
      </c>
      <c r="K26">
        <v>16</v>
      </c>
      <c r="L26">
        <v>123</v>
      </c>
      <c r="M26">
        <v>1968</v>
      </c>
      <c r="N26">
        <v>1968</v>
      </c>
      <c r="O26">
        <v>0</v>
      </c>
      <c r="P26" t="s">
        <v>26</v>
      </c>
      <c r="Q26">
        <v>2018</v>
      </c>
      <c r="R26" t="s">
        <v>70</v>
      </c>
      <c r="S26" t="s">
        <v>71</v>
      </c>
      <c r="T26" t="s">
        <v>72</v>
      </c>
    </row>
    <row r="27" spans="1:20" x14ac:dyDescent="0.35">
      <c r="A27" t="s">
        <v>18</v>
      </c>
      <c r="B27" t="s">
        <v>131</v>
      </c>
      <c r="C27" t="s">
        <v>132</v>
      </c>
      <c r="D27" t="s">
        <v>21</v>
      </c>
      <c r="E27">
        <v>51.776899999999998</v>
      </c>
      <c r="F27">
        <v>19.454699999999999</v>
      </c>
      <c r="G27" t="s">
        <v>32</v>
      </c>
      <c r="H27" t="s">
        <v>33</v>
      </c>
      <c r="I27" t="s">
        <v>133</v>
      </c>
      <c r="J27" t="s">
        <v>134</v>
      </c>
      <c r="K27">
        <v>35</v>
      </c>
      <c r="L27">
        <v>24</v>
      </c>
      <c r="M27">
        <v>840</v>
      </c>
      <c r="N27">
        <v>840</v>
      </c>
      <c r="O27">
        <v>0</v>
      </c>
      <c r="P27" t="s">
        <v>26</v>
      </c>
      <c r="Q27">
        <v>2018</v>
      </c>
      <c r="R27" t="s">
        <v>70</v>
      </c>
      <c r="S27" t="s">
        <v>71</v>
      </c>
      <c r="T27" t="s">
        <v>72</v>
      </c>
    </row>
    <row r="28" spans="1:20" x14ac:dyDescent="0.35">
      <c r="A28" t="s">
        <v>18</v>
      </c>
      <c r="B28" t="s">
        <v>135</v>
      </c>
      <c r="C28" t="s">
        <v>136</v>
      </c>
      <c r="D28" t="s">
        <v>21</v>
      </c>
      <c r="E28">
        <v>50.05</v>
      </c>
      <c r="F28">
        <v>22</v>
      </c>
      <c r="G28" t="s">
        <v>32</v>
      </c>
      <c r="H28" t="s">
        <v>39</v>
      </c>
      <c r="I28" t="s">
        <v>137</v>
      </c>
      <c r="J28" t="s">
        <v>86</v>
      </c>
      <c r="K28">
        <v>2</v>
      </c>
      <c r="L28">
        <v>502</v>
      </c>
      <c r="M28">
        <v>1004</v>
      </c>
      <c r="N28">
        <v>1004</v>
      </c>
      <c r="O28">
        <v>0</v>
      </c>
      <c r="P28" t="s">
        <v>26</v>
      </c>
      <c r="Q28">
        <v>2018</v>
      </c>
      <c r="R28" t="s">
        <v>105</v>
      </c>
      <c r="S28" t="s">
        <v>71</v>
      </c>
      <c r="T28" t="s">
        <v>72</v>
      </c>
    </row>
    <row r="29" spans="1:20" x14ac:dyDescent="0.35">
      <c r="A29" t="s">
        <v>18</v>
      </c>
      <c r="B29" t="s">
        <v>138</v>
      </c>
      <c r="C29" t="s">
        <v>139</v>
      </c>
      <c r="D29" t="s">
        <v>21</v>
      </c>
      <c r="E29">
        <v>50.1556</v>
      </c>
      <c r="F29">
        <v>23.123000000000001</v>
      </c>
      <c r="G29" t="s">
        <v>32</v>
      </c>
      <c r="H29" t="s">
        <v>39</v>
      </c>
      <c r="I29" t="s">
        <v>140</v>
      </c>
      <c r="J29" t="s">
        <v>134</v>
      </c>
      <c r="K29">
        <v>3</v>
      </c>
      <c r="L29">
        <v>511</v>
      </c>
      <c r="M29">
        <v>1533</v>
      </c>
      <c r="N29">
        <v>1533</v>
      </c>
      <c r="O29">
        <v>0</v>
      </c>
      <c r="P29" t="s">
        <v>26</v>
      </c>
      <c r="Q29">
        <v>2018</v>
      </c>
      <c r="R29" t="s">
        <v>36</v>
      </c>
      <c r="S29" t="s">
        <v>28</v>
      </c>
      <c r="T29" t="s">
        <v>29</v>
      </c>
    </row>
    <row r="30" spans="1:20" x14ac:dyDescent="0.35">
      <c r="A30" t="s">
        <v>18</v>
      </c>
      <c r="B30" t="s">
        <v>141</v>
      </c>
      <c r="C30" t="s">
        <v>142</v>
      </c>
      <c r="D30" t="s">
        <v>21</v>
      </c>
      <c r="E30">
        <v>51.2333</v>
      </c>
      <c r="F30">
        <v>22.7</v>
      </c>
      <c r="G30" t="s">
        <v>32</v>
      </c>
      <c r="H30" t="s">
        <v>39</v>
      </c>
      <c r="I30" t="s">
        <v>143</v>
      </c>
      <c r="J30" t="s">
        <v>25</v>
      </c>
      <c r="K30">
        <v>50</v>
      </c>
      <c r="L30">
        <v>653</v>
      </c>
      <c r="M30">
        <v>32650</v>
      </c>
      <c r="N30">
        <v>32650</v>
      </c>
      <c r="O30">
        <v>0</v>
      </c>
      <c r="P30" t="s">
        <v>144</v>
      </c>
      <c r="Q30">
        <v>2018</v>
      </c>
      <c r="R30" t="s">
        <v>87</v>
      </c>
      <c r="S30" t="s">
        <v>42</v>
      </c>
      <c r="T30" t="s">
        <v>43</v>
      </c>
    </row>
    <row r="31" spans="1:20" x14ac:dyDescent="0.35">
      <c r="A31" t="s">
        <v>18</v>
      </c>
      <c r="B31" t="s">
        <v>77</v>
      </c>
      <c r="C31" t="s">
        <v>78</v>
      </c>
      <c r="D31" t="s">
        <v>21</v>
      </c>
      <c r="E31">
        <v>51.95</v>
      </c>
      <c r="F31">
        <v>14.7333</v>
      </c>
      <c r="G31" t="s">
        <v>22</v>
      </c>
      <c r="H31" t="s">
        <v>79</v>
      </c>
      <c r="I31" t="s">
        <v>145</v>
      </c>
      <c r="J31" t="s">
        <v>47</v>
      </c>
      <c r="K31">
        <v>6</v>
      </c>
      <c r="L31">
        <v>191</v>
      </c>
      <c r="M31">
        <v>1146</v>
      </c>
      <c r="N31">
        <v>1146</v>
      </c>
      <c r="O31">
        <v>0</v>
      </c>
      <c r="P31" t="s">
        <v>26</v>
      </c>
      <c r="Q31">
        <v>2018</v>
      </c>
      <c r="R31" t="s">
        <v>63</v>
      </c>
      <c r="S31" t="s">
        <v>28</v>
      </c>
      <c r="T31" t="s">
        <v>29</v>
      </c>
    </row>
    <row r="32" spans="1:20" x14ac:dyDescent="0.35">
      <c r="A32" t="s">
        <v>18</v>
      </c>
      <c r="B32" t="s">
        <v>146</v>
      </c>
      <c r="C32" t="s">
        <v>147</v>
      </c>
      <c r="D32" t="s">
        <v>21</v>
      </c>
      <c r="E32">
        <v>50.475099999999998</v>
      </c>
      <c r="F32">
        <v>17.965399999999999</v>
      </c>
      <c r="G32" t="s">
        <v>32</v>
      </c>
      <c r="H32" t="s">
        <v>39</v>
      </c>
      <c r="I32" t="s">
        <v>148</v>
      </c>
      <c r="J32" t="s">
        <v>86</v>
      </c>
      <c r="K32">
        <v>4</v>
      </c>
      <c r="L32">
        <v>692</v>
      </c>
      <c r="M32">
        <v>2768</v>
      </c>
      <c r="N32">
        <v>2768</v>
      </c>
      <c r="O32">
        <v>0</v>
      </c>
      <c r="P32" t="s">
        <v>26</v>
      </c>
      <c r="Q32">
        <v>2018</v>
      </c>
      <c r="R32" t="s">
        <v>105</v>
      </c>
      <c r="S32" t="s">
        <v>71</v>
      </c>
      <c r="T32" t="s">
        <v>72</v>
      </c>
    </row>
    <row r="33" spans="1:20" x14ac:dyDescent="0.35">
      <c r="A33" t="s">
        <v>18</v>
      </c>
      <c r="B33" t="s">
        <v>149</v>
      </c>
      <c r="C33" t="s">
        <v>150</v>
      </c>
      <c r="D33" t="s">
        <v>21</v>
      </c>
      <c r="E33">
        <v>50.866700000000002</v>
      </c>
      <c r="F33">
        <v>17.4833</v>
      </c>
      <c r="G33" t="s">
        <v>22</v>
      </c>
      <c r="H33" t="s">
        <v>79</v>
      </c>
      <c r="I33" t="s">
        <v>151</v>
      </c>
      <c r="J33" t="s">
        <v>134</v>
      </c>
      <c r="K33">
        <v>6</v>
      </c>
      <c r="L33">
        <v>164</v>
      </c>
      <c r="M33">
        <v>984</v>
      </c>
      <c r="N33">
        <v>984</v>
      </c>
      <c r="O33">
        <v>0</v>
      </c>
      <c r="P33" t="s">
        <v>26</v>
      </c>
      <c r="Q33">
        <v>2018</v>
      </c>
      <c r="R33" t="s">
        <v>27</v>
      </c>
      <c r="S33" t="s">
        <v>28</v>
      </c>
      <c r="T33" t="s">
        <v>29</v>
      </c>
    </row>
    <row r="34" spans="1:20" x14ac:dyDescent="0.35">
      <c r="A34" t="s">
        <v>18</v>
      </c>
      <c r="B34" t="s">
        <v>152</v>
      </c>
      <c r="C34" t="s">
        <v>153</v>
      </c>
      <c r="D34" t="s">
        <v>21</v>
      </c>
      <c r="E34">
        <v>49.299399999999999</v>
      </c>
      <c r="F34">
        <v>19.951899999999998</v>
      </c>
      <c r="G34" t="s">
        <v>32</v>
      </c>
      <c r="H34" t="s">
        <v>33</v>
      </c>
      <c r="I34" t="s">
        <v>69</v>
      </c>
      <c r="J34" t="s">
        <v>25</v>
      </c>
      <c r="K34">
        <v>60</v>
      </c>
      <c r="L34">
        <v>551</v>
      </c>
      <c r="M34">
        <v>33060</v>
      </c>
      <c r="N34">
        <v>33060</v>
      </c>
      <c r="O34">
        <v>0</v>
      </c>
      <c r="P34" t="s">
        <v>26</v>
      </c>
      <c r="Q34">
        <v>2018</v>
      </c>
      <c r="R34" t="s">
        <v>27</v>
      </c>
      <c r="S34" t="s">
        <v>28</v>
      </c>
      <c r="T34" t="s">
        <v>29</v>
      </c>
    </row>
    <row r="35" spans="1:20" x14ac:dyDescent="0.35">
      <c r="A35" t="s">
        <v>18</v>
      </c>
      <c r="B35" t="s">
        <v>30</v>
      </c>
      <c r="C35" t="s">
        <v>31</v>
      </c>
      <c r="D35" t="s">
        <v>21</v>
      </c>
      <c r="E35">
        <v>53.416699999999999</v>
      </c>
      <c r="F35">
        <v>18.433299999999999</v>
      </c>
      <c r="G35" t="s">
        <v>32</v>
      </c>
      <c r="H35" t="s">
        <v>33</v>
      </c>
      <c r="I35" t="s">
        <v>145</v>
      </c>
      <c r="J35" t="s">
        <v>47</v>
      </c>
      <c r="K35">
        <v>38</v>
      </c>
      <c r="L35">
        <v>191</v>
      </c>
      <c r="M35">
        <v>7258</v>
      </c>
      <c r="N35">
        <v>7258</v>
      </c>
      <c r="O35">
        <v>0</v>
      </c>
      <c r="P35" t="s">
        <v>56</v>
      </c>
      <c r="Q35">
        <v>2018</v>
      </c>
      <c r="R35" t="s">
        <v>63</v>
      </c>
      <c r="S35" t="s">
        <v>28</v>
      </c>
      <c r="T35" t="s">
        <v>29</v>
      </c>
    </row>
    <row r="36" spans="1:20" x14ac:dyDescent="0.35">
      <c r="A36" t="s">
        <v>18</v>
      </c>
      <c r="B36" t="s">
        <v>154</v>
      </c>
      <c r="C36" t="s">
        <v>155</v>
      </c>
      <c r="D36" t="s">
        <v>21</v>
      </c>
      <c r="E36">
        <v>52.1417</v>
      </c>
      <c r="F36">
        <v>20.716699999999999</v>
      </c>
      <c r="G36" t="s">
        <v>22</v>
      </c>
      <c r="H36" t="s">
        <v>23</v>
      </c>
      <c r="I36" t="s">
        <v>156</v>
      </c>
      <c r="J36" t="s">
        <v>35</v>
      </c>
      <c r="K36">
        <v>5</v>
      </c>
      <c r="L36">
        <v>114</v>
      </c>
      <c r="M36">
        <v>570</v>
      </c>
      <c r="N36">
        <v>570</v>
      </c>
      <c r="O36">
        <v>0</v>
      </c>
      <c r="P36" t="s">
        <v>26</v>
      </c>
      <c r="Q36">
        <v>2018</v>
      </c>
      <c r="R36" t="s">
        <v>36</v>
      </c>
      <c r="S36" t="s">
        <v>28</v>
      </c>
      <c r="T36" t="s">
        <v>29</v>
      </c>
    </row>
    <row r="37" spans="1:20" x14ac:dyDescent="0.35">
      <c r="A37" t="s">
        <v>18</v>
      </c>
      <c r="B37" t="s">
        <v>157</v>
      </c>
      <c r="C37" t="s">
        <v>158</v>
      </c>
      <c r="D37" t="s">
        <v>21</v>
      </c>
      <c r="E37">
        <v>49.822499999999998</v>
      </c>
      <c r="F37">
        <v>19.0444</v>
      </c>
      <c r="G37" t="s">
        <v>32</v>
      </c>
      <c r="H37" t="s">
        <v>39</v>
      </c>
      <c r="I37" t="s">
        <v>159</v>
      </c>
      <c r="J37" t="s">
        <v>47</v>
      </c>
      <c r="K37">
        <v>5</v>
      </c>
      <c r="L37">
        <v>26</v>
      </c>
      <c r="M37">
        <v>130</v>
      </c>
      <c r="N37">
        <v>130</v>
      </c>
      <c r="O37">
        <v>0</v>
      </c>
      <c r="P37" t="s">
        <v>26</v>
      </c>
      <c r="Q37">
        <v>2018</v>
      </c>
      <c r="R37" t="s">
        <v>82</v>
      </c>
      <c r="S37" t="s">
        <v>58</v>
      </c>
      <c r="T37" t="s">
        <v>59</v>
      </c>
    </row>
    <row r="38" spans="1:20" x14ac:dyDescent="0.35">
      <c r="A38" t="s">
        <v>18</v>
      </c>
      <c r="B38" t="s">
        <v>160</v>
      </c>
      <c r="C38" t="s">
        <v>161</v>
      </c>
      <c r="D38" t="s">
        <v>21</v>
      </c>
      <c r="E38">
        <v>53.2667</v>
      </c>
      <c r="F38">
        <v>16.466699999999999</v>
      </c>
      <c r="G38" t="s">
        <v>22</v>
      </c>
      <c r="H38" t="s">
        <v>79</v>
      </c>
      <c r="I38" t="s">
        <v>162</v>
      </c>
      <c r="J38" t="s">
        <v>25</v>
      </c>
      <c r="K38">
        <v>30</v>
      </c>
      <c r="L38">
        <v>452</v>
      </c>
      <c r="M38">
        <v>13560</v>
      </c>
      <c r="N38">
        <v>13560</v>
      </c>
      <c r="O38">
        <v>0</v>
      </c>
      <c r="P38" t="s">
        <v>26</v>
      </c>
      <c r="Q38">
        <v>2018</v>
      </c>
      <c r="R38" t="s">
        <v>63</v>
      </c>
      <c r="S38" t="s">
        <v>28</v>
      </c>
      <c r="T38" t="s">
        <v>29</v>
      </c>
    </row>
    <row r="39" spans="1:20" x14ac:dyDescent="0.35">
      <c r="A39" t="s">
        <v>18</v>
      </c>
      <c r="B39" t="s">
        <v>163</v>
      </c>
      <c r="C39" t="s">
        <v>164</v>
      </c>
      <c r="D39" t="s">
        <v>21</v>
      </c>
      <c r="E39">
        <v>49.882100000000001</v>
      </c>
      <c r="F39">
        <v>19.223299999999998</v>
      </c>
      <c r="G39" t="s">
        <v>32</v>
      </c>
      <c r="H39" t="s">
        <v>39</v>
      </c>
      <c r="I39" t="s">
        <v>165</v>
      </c>
      <c r="J39" t="s">
        <v>25</v>
      </c>
      <c r="K39">
        <v>1</v>
      </c>
      <c r="L39">
        <v>604</v>
      </c>
      <c r="M39">
        <v>604</v>
      </c>
      <c r="N39">
        <v>604</v>
      </c>
      <c r="O39">
        <v>0</v>
      </c>
      <c r="P39" t="s">
        <v>26</v>
      </c>
      <c r="Q39">
        <v>2018</v>
      </c>
      <c r="R39" t="s">
        <v>41</v>
      </c>
      <c r="S39" t="s">
        <v>42</v>
      </c>
      <c r="T39" t="s">
        <v>43</v>
      </c>
    </row>
    <row r="40" spans="1:20" x14ac:dyDescent="0.35">
      <c r="A40" t="s">
        <v>18</v>
      </c>
      <c r="B40" t="s">
        <v>166</v>
      </c>
      <c r="C40" t="s">
        <v>167</v>
      </c>
      <c r="D40" t="s">
        <v>21</v>
      </c>
      <c r="E40">
        <v>50.8</v>
      </c>
      <c r="F40">
        <v>19.116700000000002</v>
      </c>
      <c r="G40" t="s">
        <v>32</v>
      </c>
      <c r="H40" t="s">
        <v>33</v>
      </c>
      <c r="I40" t="s">
        <v>168</v>
      </c>
      <c r="J40" t="s">
        <v>95</v>
      </c>
      <c r="K40">
        <v>2</v>
      </c>
      <c r="L40">
        <v>768</v>
      </c>
      <c r="M40">
        <v>1536</v>
      </c>
      <c r="N40">
        <v>1536</v>
      </c>
      <c r="O40">
        <v>0</v>
      </c>
      <c r="P40" t="s">
        <v>26</v>
      </c>
      <c r="Q40">
        <v>2018</v>
      </c>
      <c r="R40" t="s">
        <v>36</v>
      </c>
      <c r="S40" t="s">
        <v>28</v>
      </c>
      <c r="T40" t="s">
        <v>29</v>
      </c>
    </row>
    <row r="41" spans="1:20" x14ac:dyDescent="0.35">
      <c r="A41" t="s">
        <v>18</v>
      </c>
      <c r="B41" t="s">
        <v>169</v>
      </c>
      <c r="C41" t="s">
        <v>170</v>
      </c>
      <c r="D41" t="s">
        <v>21</v>
      </c>
      <c r="E41">
        <v>51.366700000000002</v>
      </c>
      <c r="F41">
        <v>19.366700000000002</v>
      </c>
      <c r="G41" t="s">
        <v>22</v>
      </c>
      <c r="H41" t="s">
        <v>23</v>
      </c>
      <c r="I41" t="s">
        <v>34</v>
      </c>
      <c r="J41" t="s">
        <v>35</v>
      </c>
      <c r="K41">
        <v>4</v>
      </c>
      <c r="L41">
        <v>591</v>
      </c>
      <c r="M41">
        <v>2364</v>
      </c>
      <c r="N41">
        <v>2364</v>
      </c>
      <c r="O41">
        <v>0</v>
      </c>
      <c r="P41" t="s">
        <v>26</v>
      </c>
      <c r="Q41">
        <v>2018</v>
      </c>
      <c r="R41" t="s">
        <v>115</v>
      </c>
      <c r="S41" t="s">
        <v>58</v>
      </c>
      <c r="T41" t="s">
        <v>59</v>
      </c>
    </row>
    <row r="42" spans="1:20" x14ac:dyDescent="0.35">
      <c r="A42" t="s">
        <v>18</v>
      </c>
      <c r="B42" t="s">
        <v>171</v>
      </c>
      <c r="C42" t="s">
        <v>172</v>
      </c>
      <c r="D42" t="s">
        <v>21</v>
      </c>
      <c r="E42">
        <v>53.2</v>
      </c>
      <c r="F42">
        <v>18.600000000000001</v>
      </c>
      <c r="G42" t="s">
        <v>22</v>
      </c>
      <c r="H42" t="s">
        <v>23</v>
      </c>
      <c r="I42" t="s">
        <v>173</v>
      </c>
      <c r="J42" t="s">
        <v>47</v>
      </c>
      <c r="K42">
        <v>2</v>
      </c>
      <c r="L42">
        <v>763</v>
      </c>
      <c r="M42">
        <v>1526</v>
      </c>
      <c r="N42">
        <v>1526</v>
      </c>
      <c r="O42">
        <v>0</v>
      </c>
      <c r="P42" t="s">
        <v>26</v>
      </c>
      <c r="Q42">
        <v>2018</v>
      </c>
      <c r="R42" t="s">
        <v>63</v>
      </c>
      <c r="S42" t="s">
        <v>28</v>
      </c>
      <c r="T42" t="s">
        <v>29</v>
      </c>
    </row>
    <row r="43" spans="1:20" x14ac:dyDescent="0.35">
      <c r="A43" t="s">
        <v>18</v>
      </c>
      <c r="B43" t="s">
        <v>174</v>
      </c>
      <c r="C43" t="s">
        <v>175</v>
      </c>
      <c r="D43" t="s">
        <v>21</v>
      </c>
      <c r="E43">
        <v>52.4</v>
      </c>
      <c r="F43">
        <v>16.916699999999999</v>
      </c>
      <c r="G43" t="s">
        <v>22</v>
      </c>
      <c r="H43" t="s">
        <v>79</v>
      </c>
      <c r="I43" t="s">
        <v>176</v>
      </c>
      <c r="J43" t="s">
        <v>35</v>
      </c>
      <c r="K43">
        <v>2</v>
      </c>
      <c r="L43">
        <v>458</v>
      </c>
      <c r="M43">
        <v>916</v>
      </c>
      <c r="N43">
        <v>916</v>
      </c>
      <c r="O43">
        <v>0</v>
      </c>
      <c r="P43" t="s">
        <v>177</v>
      </c>
      <c r="Q43">
        <v>2018</v>
      </c>
      <c r="R43" t="s">
        <v>87</v>
      </c>
      <c r="S43" t="s">
        <v>42</v>
      </c>
      <c r="T43" t="s">
        <v>43</v>
      </c>
    </row>
    <row r="44" spans="1:20" x14ac:dyDescent="0.35">
      <c r="A44" t="s">
        <v>18</v>
      </c>
      <c r="B44" t="s">
        <v>178</v>
      </c>
      <c r="C44" t="s">
        <v>179</v>
      </c>
      <c r="D44" t="s">
        <v>21</v>
      </c>
      <c r="E44">
        <v>54.166699999999999</v>
      </c>
      <c r="F44">
        <v>19.399999999999999</v>
      </c>
      <c r="G44" t="s">
        <v>32</v>
      </c>
      <c r="H44" t="s">
        <v>39</v>
      </c>
      <c r="I44" t="s">
        <v>24</v>
      </c>
      <c r="J44" t="s">
        <v>25</v>
      </c>
      <c r="K44">
        <v>2</v>
      </c>
      <c r="L44">
        <v>368</v>
      </c>
      <c r="M44">
        <v>736</v>
      </c>
      <c r="N44">
        <v>736</v>
      </c>
      <c r="O44">
        <v>0</v>
      </c>
      <c r="P44" t="s">
        <v>26</v>
      </c>
      <c r="Q44">
        <v>2018</v>
      </c>
      <c r="R44" t="s">
        <v>115</v>
      </c>
      <c r="S44" t="s">
        <v>58</v>
      </c>
      <c r="T44" t="s">
        <v>59</v>
      </c>
    </row>
    <row r="45" spans="1:20" x14ac:dyDescent="0.35">
      <c r="A45" t="s">
        <v>18</v>
      </c>
      <c r="B45" t="s">
        <v>180</v>
      </c>
      <c r="C45" t="s">
        <v>181</v>
      </c>
      <c r="D45" t="s">
        <v>21</v>
      </c>
      <c r="E45">
        <v>52.883299999999998</v>
      </c>
      <c r="F45">
        <v>18.783300000000001</v>
      </c>
      <c r="G45" t="s">
        <v>32</v>
      </c>
      <c r="H45" t="s">
        <v>33</v>
      </c>
      <c r="I45" t="s">
        <v>182</v>
      </c>
      <c r="J45" t="s">
        <v>134</v>
      </c>
      <c r="K45">
        <v>3</v>
      </c>
      <c r="L45">
        <v>682</v>
      </c>
      <c r="M45">
        <v>2046</v>
      </c>
      <c r="N45">
        <v>2046</v>
      </c>
      <c r="O45">
        <v>0</v>
      </c>
      <c r="P45" t="s">
        <v>26</v>
      </c>
      <c r="Q45">
        <v>2018</v>
      </c>
      <c r="R45" t="s">
        <v>27</v>
      </c>
      <c r="S45" t="s">
        <v>28</v>
      </c>
      <c r="T45" t="s">
        <v>29</v>
      </c>
    </row>
    <row r="46" spans="1:20" x14ac:dyDescent="0.35">
      <c r="A46" t="s">
        <v>18</v>
      </c>
      <c r="B46" t="s">
        <v>37</v>
      </c>
      <c r="C46" t="s">
        <v>38</v>
      </c>
      <c r="D46" t="s">
        <v>21</v>
      </c>
      <c r="E46">
        <v>50.083300000000001</v>
      </c>
      <c r="F46">
        <v>18.5</v>
      </c>
      <c r="G46" t="s">
        <v>32</v>
      </c>
      <c r="H46" t="s">
        <v>39</v>
      </c>
      <c r="I46" t="s">
        <v>183</v>
      </c>
      <c r="J46" t="s">
        <v>25</v>
      </c>
      <c r="K46">
        <v>2</v>
      </c>
      <c r="L46">
        <v>106</v>
      </c>
      <c r="M46">
        <v>212</v>
      </c>
      <c r="N46">
        <v>212</v>
      </c>
      <c r="O46">
        <v>0</v>
      </c>
      <c r="P46" t="s">
        <v>26</v>
      </c>
      <c r="Q46">
        <v>2018</v>
      </c>
      <c r="R46" t="s">
        <v>105</v>
      </c>
      <c r="S46" t="s">
        <v>71</v>
      </c>
      <c r="T46" t="s">
        <v>72</v>
      </c>
    </row>
    <row r="47" spans="1:20" x14ac:dyDescent="0.35">
      <c r="A47" t="s">
        <v>18</v>
      </c>
      <c r="B47" t="s">
        <v>53</v>
      </c>
      <c r="C47" t="s">
        <v>54</v>
      </c>
      <c r="D47" t="s">
        <v>21</v>
      </c>
      <c r="E47">
        <v>54.033299999999997</v>
      </c>
      <c r="F47">
        <v>22.5</v>
      </c>
      <c r="G47" t="s">
        <v>22</v>
      </c>
      <c r="H47" t="s">
        <v>23</v>
      </c>
      <c r="I47" t="s">
        <v>184</v>
      </c>
      <c r="J47" t="s">
        <v>35</v>
      </c>
      <c r="K47">
        <v>1</v>
      </c>
      <c r="L47">
        <v>122</v>
      </c>
      <c r="M47">
        <v>122</v>
      </c>
      <c r="N47">
        <v>122</v>
      </c>
      <c r="O47">
        <v>0</v>
      </c>
      <c r="P47" t="s">
        <v>185</v>
      </c>
      <c r="Q47">
        <v>2018</v>
      </c>
      <c r="R47" t="s">
        <v>27</v>
      </c>
      <c r="S47" t="s">
        <v>28</v>
      </c>
      <c r="T47" t="s">
        <v>29</v>
      </c>
    </row>
    <row r="48" spans="1:20" x14ac:dyDescent="0.35">
      <c r="A48" t="s">
        <v>18</v>
      </c>
      <c r="B48" t="s">
        <v>186</v>
      </c>
      <c r="C48" t="s">
        <v>187</v>
      </c>
      <c r="D48" t="s">
        <v>21</v>
      </c>
      <c r="E48">
        <v>50.437800000000003</v>
      </c>
      <c r="F48">
        <v>16.652799999999999</v>
      </c>
      <c r="G48" t="s">
        <v>22</v>
      </c>
      <c r="H48" t="s">
        <v>23</v>
      </c>
      <c r="I48" t="s">
        <v>188</v>
      </c>
      <c r="J48" t="s">
        <v>47</v>
      </c>
      <c r="K48">
        <v>4</v>
      </c>
      <c r="L48">
        <v>60</v>
      </c>
      <c r="M48">
        <v>240</v>
      </c>
      <c r="N48">
        <v>240</v>
      </c>
      <c r="O48">
        <v>0</v>
      </c>
      <c r="P48" t="s">
        <v>26</v>
      </c>
      <c r="Q48">
        <v>2018</v>
      </c>
      <c r="R48" t="s">
        <v>115</v>
      </c>
      <c r="S48" t="s">
        <v>58</v>
      </c>
      <c r="T48" t="s">
        <v>59</v>
      </c>
    </row>
    <row r="49" spans="1:20" x14ac:dyDescent="0.35">
      <c r="A49" t="s">
        <v>18</v>
      </c>
      <c r="B49" t="s">
        <v>189</v>
      </c>
      <c r="C49" t="s">
        <v>190</v>
      </c>
      <c r="D49" t="s">
        <v>21</v>
      </c>
      <c r="E49">
        <v>53.755800000000001</v>
      </c>
      <c r="F49">
        <v>19.197500000000002</v>
      </c>
      <c r="G49" t="s">
        <v>22</v>
      </c>
      <c r="H49" t="s">
        <v>79</v>
      </c>
      <c r="I49" t="s">
        <v>191</v>
      </c>
      <c r="J49" t="s">
        <v>25</v>
      </c>
      <c r="K49">
        <v>2</v>
      </c>
      <c r="L49">
        <v>488</v>
      </c>
      <c r="M49">
        <v>976</v>
      </c>
      <c r="N49">
        <v>976</v>
      </c>
      <c r="O49">
        <v>0</v>
      </c>
      <c r="P49" t="s">
        <v>26</v>
      </c>
      <c r="Q49">
        <v>2018</v>
      </c>
      <c r="R49" t="s">
        <v>63</v>
      </c>
      <c r="S49" t="s">
        <v>28</v>
      </c>
      <c r="T49" t="s">
        <v>29</v>
      </c>
    </row>
    <row r="50" spans="1:20" x14ac:dyDescent="0.35">
      <c r="A50" t="s">
        <v>18</v>
      </c>
      <c r="B50" t="s">
        <v>192</v>
      </c>
      <c r="C50" t="s">
        <v>193</v>
      </c>
      <c r="D50" t="s">
        <v>21</v>
      </c>
      <c r="E50">
        <v>50.3</v>
      </c>
      <c r="F50">
        <v>18.95</v>
      </c>
      <c r="G50" t="s">
        <v>32</v>
      </c>
      <c r="H50" t="s">
        <v>33</v>
      </c>
      <c r="I50" t="s">
        <v>194</v>
      </c>
      <c r="J50" t="s">
        <v>134</v>
      </c>
      <c r="K50">
        <v>8</v>
      </c>
      <c r="L50">
        <v>482</v>
      </c>
      <c r="M50">
        <v>3856</v>
      </c>
      <c r="N50">
        <v>3856</v>
      </c>
      <c r="O50">
        <v>0</v>
      </c>
      <c r="P50" t="s">
        <v>144</v>
      </c>
      <c r="Q50">
        <v>2018</v>
      </c>
      <c r="R50" t="s">
        <v>70</v>
      </c>
      <c r="S50" t="s">
        <v>71</v>
      </c>
      <c r="T50" t="s">
        <v>72</v>
      </c>
    </row>
    <row r="51" spans="1:20" x14ac:dyDescent="0.35">
      <c r="A51" t="s">
        <v>18</v>
      </c>
      <c r="B51" t="s">
        <v>195</v>
      </c>
      <c r="C51" t="s">
        <v>196</v>
      </c>
      <c r="D51" t="s">
        <v>21</v>
      </c>
      <c r="E51">
        <v>53.4925</v>
      </c>
      <c r="F51">
        <v>18.7761</v>
      </c>
      <c r="G51" t="s">
        <v>32</v>
      </c>
      <c r="H51" t="s">
        <v>33</v>
      </c>
      <c r="I51" t="s">
        <v>197</v>
      </c>
      <c r="J51" t="s">
        <v>25</v>
      </c>
      <c r="K51">
        <v>6</v>
      </c>
      <c r="L51">
        <v>391</v>
      </c>
      <c r="M51">
        <v>2346</v>
      </c>
      <c r="N51">
        <v>2346</v>
      </c>
      <c r="O51">
        <v>0</v>
      </c>
      <c r="P51" t="s">
        <v>26</v>
      </c>
      <c r="Q51">
        <v>2018</v>
      </c>
      <c r="R51" t="s">
        <v>115</v>
      </c>
      <c r="S51" t="s">
        <v>58</v>
      </c>
      <c r="T51" t="s">
        <v>59</v>
      </c>
    </row>
    <row r="52" spans="1:20" x14ac:dyDescent="0.35">
      <c r="A52" t="s">
        <v>18</v>
      </c>
      <c r="B52" t="s">
        <v>198</v>
      </c>
      <c r="C52" t="s">
        <v>199</v>
      </c>
      <c r="D52" t="s">
        <v>21</v>
      </c>
      <c r="E52">
        <v>52.058300000000003</v>
      </c>
      <c r="F52">
        <v>19.2</v>
      </c>
      <c r="G52" t="s">
        <v>32</v>
      </c>
      <c r="H52" t="s">
        <v>39</v>
      </c>
      <c r="I52" t="s">
        <v>200</v>
      </c>
      <c r="J52" t="s">
        <v>134</v>
      </c>
      <c r="K52">
        <v>10</v>
      </c>
      <c r="L52">
        <v>75</v>
      </c>
      <c r="M52">
        <v>750</v>
      </c>
      <c r="N52">
        <v>750</v>
      </c>
      <c r="O52">
        <v>0</v>
      </c>
      <c r="P52" t="s">
        <v>26</v>
      </c>
      <c r="Q52">
        <v>2018</v>
      </c>
      <c r="R52" t="s">
        <v>41</v>
      </c>
      <c r="S52" t="s">
        <v>42</v>
      </c>
      <c r="T52" t="s">
        <v>43</v>
      </c>
    </row>
    <row r="53" spans="1:20" x14ac:dyDescent="0.35">
      <c r="A53" t="s">
        <v>18</v>
      </c>
      <c r="B53" t="s">
        <v>201</v>
      </c>
      <c r="C53" t="s">
        <v>202</v>
      </c>
      <c r="D53" t="s">
        <v>21</v>
      </c>
      <c r="E53">
        <v>53.65</v>
      </c>
      <c r="F53">
        <v>17.366700000000002</v>
      </c>
      <c r="G53" t="s">
        <v>32</v>
      </c>
      <c r="H53" t="s">
        <v>33</v>
      </c>
      <c r="I53" t="s">
        <v>203</v>
      </c>
      <c r="J53" t="s">
        <v>86</v>
      </c>
      <c r="K53">
        <v>10</v>
      </c>
      <c r="L53">
        <v>347</v>
      </c>
      <c r="M53">
        <v>3470</v>
      </c>
      <c r="N53">
        <v>3470</v>
      </c>
      <c r="O53">
        <v>0</v>
      </c>
      <c r="P53" t="s">
        <v>26</v>
      </c>
      <c r="Q53">
        <v>2018</v>
      </c>
      <c r="R53" t="s">
        <v>27</v>
      </c>
      <c r="S53" t="s">
        <v>28</v>
      </c>
      <c r="T53" t="s">
        <v>29</v>
      </c>
    </row>
    <row r="54" spans="1:20" x14ac:dyDescent="0.35">
      <c r="A54" t="s">
        <v>18</v>
      </c>
      <c r="B54" t="s">
        <v>44</v>
      </c>
      <c r="C54" t="s">
        <v>45</v>
      </c>
      <c r="D54" t="s">
        <v>21</v>
      </c>
      <c r="E54">
        <v>50.333300000000001</v>
      </c>
      <c r="F54">
        <v>19.083300000000001</v>
      </c>
      <c r="G54" t="s">
        <v>22</v>
      </c>
      <c r="H54" t="s">
        <v>23</v>
      </c>
      <c r="I54" t="s">
        <v>204</v>
      </c>
      <c r="J54" t="s">
        <v>25</v>
      </c>
      <c r="K54">
        <v>10</v>
      </c>
      <c r="L54">
        <v>99</v>
      </c>
      <c r="M54">
        <v>990</v>
      </c>
      <c r="N54">
        <v>990</v>
      </c>
      <c r="O54">
        <v>0</v>
      </c>
      <c r="P54" t="s">
        <v>26</v>
      </c>
      <c r="Q54">
        <v>2018</v>
      </c>
      <c r="R54" t="s">
        <v>119</v>
      </c>
      <c r="S54" t="s">
        <v>71</v>
      </c>
      <c r="T54" t="s">
        <v>72</v>
      </c>
    </row>
    <row r="55" spans="1:20" x14ac:dyDescent="0.35">
      <c r="A55" t="s">
        <v>18</v>
      </c>
      <c r="B55" t="s">
        <v>205</v>
      </c>
      <c r="C55" t="s">
        <v>206</v>
      </c>
      <c r="D55" t="s">
        <v>21</v>
      </c>
      <c r="E55">
        <v>51.566699999999997</v>
      </c>
      <c r="F55">
        <v>21.8614</v>
      </c>
      <c r="G55" t="s">
        <v>22</v>
      </c>
      <c r="H55" t="s">
        <v>23</v>
      </c>
      <c r="I55" t="s">
        <v>98</v>
      </c>
      <c r="J55" t="s">
        <v>95</v>
      </c>
      <c r="K55">
        <v>8</v>
      </c>
      <c r="L55">
        <v>487</v>
      </c>
      <c r="M55">
        <v>3896</v>
      </c>
      <c r="N55">
        <v>3896</v>
      </c>
      <c r="O55">
        <v>0</v>
      </c>
      <c r="P55" t="s">
        <v>26</v>
      </c>
      <c r="Q55">
        <v>2018</v>
      </c>
      <c r="R55" t="s">
        <v>57</v>
      </c>
      <c r="S55" t="s">
        <v>58</v>
      </c>
      <c r="T55" t="s">
        <v>59</v>
      </c>
    </row>
    <row r="56" spans="1:20" x14ac:dyDescent="0.35">
      <c r="A56" t="s">
        <v>18</v>
      </c>
      <c r="B56" t="s">
        <v>126</v>
      </c>
      <c r="C56" t="s">
        <v>127</v>
      </c>
      <c r="D56" t="s">
        <v>21</v>
      </c>
      <c r="E56">
        <v>50.843800000000002</v>
      </c>
      <c r="F56">
        <v>16.488600000000002</v>
      </c>
      <c r="G56" t="s">
        <v>32</v>
      </c>
      <c r="H56" t="s">
        <v>39</v>
      </c>
      <c r="I56" t="s">
        <v>207</v>
      </c>
      <c r="J56" t="s">
        <v>134</v>
      </c>
      <c r="K56">
        <v>8</v>
      </c>
      <c r="L56">
        <v>149</v>
      </c>
      <c r="M56">
        <v>1192</v>
      </c>
      <c r="N56">
        <v>1192</v>
      </c>
      <c r="O56">
        <v>0</v>
      </c>
      <c r="P56" t="s">
        <v>26</v>
      </c>
      <c r="Q56">
        <v>2018</v>
      </c>
      <c r="R56" t="s">
        <v>36</v>
      </c>
      <c r="S56" t="s">
        <v>28</v>
      </c>
      <c r="T56" t="s">
        <v>29</v>
      </c>
    </row>
    <row r="57" spans="1:20" x14ac:dyDescent="0.35">
      <c r="A57" t="s">
        <v>18</v>
      </c>
      <c r="B57" t="s">
        <v>208</v>
      </c>
      <c r="C57" t="s">
        <v>209</v>
      </c>
      <c r="D57" t="s">
        <v>21</v>
      </c>
      <c r="E57">
        <v>53.916699999999999</v>
      </c>
      <c r="F57">
        <v>14.25</v>
      </c>
      <c r="G57" t="s">
        <v>22</v>
      </c>
      <c r="H57" t="s">
        <v>79</v>
      </c>
      <c r="I57" t="s">
        <v>210</v>
      </c>
      <c r="J57" t="s">
        <v>47</v>
      </c>
      <c r="K57">
        <v>1</v>
      </c>
      <c r="L57">
        <v>778</v>
      </c>
      <c r="M57">
        <v>778</v>
      </c>
      <c r="N57">
        <v>778</v>
      </c>
      <c r="O57">
        <v>0</v>
      </c>
      <c r="P57" t="s">
        <v>26</v>
      </c>
      <c r="Q57">
        <v>2018</v>
      </c>
      <c r="R57" t="s">
        <v>105</v>
      </c>
      <c r="S57" t="s">
        <v>71</v>
      </c>
      <c r="T57" t="s">
        <v>72</v>
      </c>
    </row>
    <row r="58" spans="1:20" x14ac:dyDescent="0.35">
      <c r="A58" t="s">
        <v>18</v>
      </c>
      <c r="B58" t="s">
        <v>211</v>
      </c>
      <c r="C58" t="s">
        <v>212</v>
      </c>
      <c r="D58" t="s">
        <v>21</v>
      </c>
      <c r="E58">
        <v>52.7333</v>
      </c>
      <c r="F58">
        <v>15.25</v>
      </c>
      <c r="G58" t="s">
        <v>32</v>
      </c>
      <c r="H58" t="s">
        <v>39</v>
      </c>
      <c r="I58" t="s">
        <v>165</v>
      </c>
      <c r="J58" t="s">
        <v>25</v>
      </c>
      <c r="K58">
        <v>20</v>
      </c>
      <c r="L58">
        <v>604</v>
      </c>
      <c r="M58">
        <v>12080</v>
      </c>
      <c r="N58">
        <v>12080</v>
      </c>
      <c r="O58">
        <v>0</v>
      </c>
      <c r="P58" t="s">
        <v>26</v>
      </c>
      <c r="Q58">
        <v>2018</v>
      </c>
      <c r="R58" t="s">
        <v>119</v>
      </c>
      <c r="S58" t="s">
        <v>71</v>
      </c>
      <c r="T58" t="s">
        <v>72</v>
      </c>
    </row>
    <row r="59" spans="1:20" x14ac:dyDescent="0.35">
      <c r="A59" t="s">
        <v>18</v>
      </c>
      <c r="B59" t="s">
        <v>213</v>
      </c>
      <c r="C59" t="s">
        <v>214</v>
      </c>
      <c r="D59" t="s">
        <v>21</v>
      </c>
      <c r="E59">
        <v>53.142099999999999</v>
      </c>
      <c r="F59">
        <v>17.601800000000001</v>
      </c>
      <c r="G59" t="s">
        <v>32</v>
      </c>
      <c r="H59" t="s">
        <v>33</v>
      </c>
      <c r="I59" t="s">
        <v>210</v>
      </c>
      <c r="J59" t="s">
        <v>47</v>
      </c>
      <c r="K59">
        <v>20</v>
      </c>
      <c r="L59">
        <v>778</v>
      </c>
      <c r="M59">
        <v>15560</v>
      </c>
      <c r="N59">
        <v>15560</v>
      </c>
      <c r="O59">
        <v>0</v>
      </c>
      <c r="P59" t="s">
        <v>26</v>
      </c>
      <c r="Q59">
        <v>2018</v>
      </c>
      <c r="R59" t="s">
        <v>82</v>
      </c>
      <c r="S59" t="s">
        <v>58</v>
      </c>
      <c r="T59" t="s">
        <v>59</v>
      </c>
    </row>
    <row r="60" spans="1:20" x14ac:dyDescent="0.35">
      <c r="A60" t="s">
        <v>18</v>
      </c>
      <c r="B60" t="s">
        <v>215</v>
      </c>
      <c r="C60" t="s">
        <v>216</v>
      </c>
      <c r="D60" t="s">
        <v>21</v>
      </c>
      <c r="E60">
        <v>53.252400000000002</v>
      </c>
      <c r="F60">
        <v>14.488300000000001</v>
      </c>
      <c r="G60" t="s">
        <v>22</v>
      </c>
      <c r="H60" t="s">
        <v>79</v>
      </c>
      <c r="I60" t="s">
        <v>217</v>
      </c>
      <c r="J60" t="s">
        <v>35</v>
      </c>
      <c r="K60">
        <v>3</v>
      </c>
      <c r="L60">
        <v>424</v>
      </c>
      <c r="M60">
        <v>1272</v>
      </c>
      <c r="N60">
        <v>1272</v>
      </c>
      <c r="O60">
        <v>0</v>
      </c>
      <c r="P60" t="s">
        <v>26</v>
      </c>
      <c r="Q60">
        <v>2018</v>
      </c>
      <c r="R60" t="s">
        <v>76</v>
      </c>
      <c r="S60" t="s">
        <v>42</v>
      </c>
      <c r="T60" t="s">
        <v>43</v>
      </c>
    </row>
    <row r="61" spans="1:20" x14ac:dyDescent="0.35">
      <c r="A61" t="s">
        <v>18</v>
      </c>
      <c r="B61" t="s">
        <v>218</v>
      </c>
      <c r="C61" t="s">
        <v>219</v>
      </c>
      <c r="D61" t="s">
        <v>21</v>
      </c>
      <c r="E61">
        <v>50.683300000000003</v>
      </c>
      <c r="F61">
        <v>21.75</v>
      </c>
      <c r="G61" t="s">
        <v>22</v>
      </c>
      <c r="H61" t="s">
        <v>79</v>
      </c>
      <c r="I61" t="s">
        <v>66</v>
      </c>
      <c r="J61" t="s">
        <v>25</v>
      </c>
      <c r="K61">
        <v>10</v>
      </c>
      <c r="L61">
        <v>742</v>
      </c>
      <c r="M61">
        <v>7420</v>
      </c>
      <c r="N61">
        <v>7420</v>
      </c>
      <c r="O61">
        <v>0</v>
      </c>
      <c r="P61" t="s">
        <v>144</v>
      </c>
      <c r="Q61">
        <v>2018</v>
      </c>
      <c r="R61" t="s">
        <v>36</v>
      </c>
      <c r="S61" t="s">
        <v>28</v>
      </c>
      <c r="T61" t="s">
        <v>29</v>
      </c>
    </row>
    <row r="62" spans="1:20" x14ac:dyDescent="0.35">
      <c r="A62" t="s">
        <v>18</v>
      </c>
      <c r="B62" t="s">
        <v>220</v>
      </c>
      <c r="C62" t="s">
        <v>221</v>
      </c>
      <c r="D62" t="s">
        <v>21</v>
      </c>
      <c r="E62">
        <v>53.969700000000003</v>
      </c>
      <c r="F62">
        <v>14.7858</v>
      </c>
      <c r="G62" t="s">
        <v>22</v>
      </c>
      <c r="H62" t="s">
        <v>79</v>
      </c>
      <c r="I62" t="s">
        <v>40</v>
      </c>
      <c r="J62" t="s">
        <v>35</v>
      </c>
      <c r="K62">
        <v>100</v>
      </c>
      <c r="L62">
        <v>66</v>
      </c>
      <c r="M62">
        <v>6600</v>
      </c>
      <c r="N62">
        <v>6600</v>
      </c>
      <c r="O62">
        <v>0</v>
      </c>
      <c r="P62" t="s">
        <v>26</v>
      </c>
      <c r="Q62">
        <v>2018</v>
      </c>
      <c r="R62" t="s">
        <v>76</v>
      </c>
      <c r="S62" t="s">
        <v>42</v>
      </c>
      <c r="T62" t="s">
        <v>43</v>
      </c>
    </row>
    <row r="63" spans="1:20" x14ac:dyDescent="0.35">
      <c r="A63" t="s">
        <v>18</v>
      </c>
      <c r="B63" t="s">
        <v>178</v>
      </c>
      <c r="C63" t="s">
        <v>179</v>
      </c>
      <c r="D63" t="s">
        <v>21</v>
      </c>
      <c r="E63">
        <v>54.166699999999999</v>
      </c>
      <c r="F63">
        <v>19.399999999999999</v>
      </c>
      <c r="G63" t="s">
        <v>32</v>
      </c>
      <c r="H63" t="s">
        <v>39</v>
      </c>
      <c r="I63" t="s">
        <v>194</v>
      </c>
      <c r="J63" t="s">
        <v>134</v>
      </c>
      <c r="K63">
        <v>4</v>
      </c>
      <c r="L63">
        <v>482</v>
      </c>
      <c r="M63">
        <v>1928</v>
      </c>
      <c r="N63">
        <v>1928</v>
      </c>
      <c r="O63">
        <v>0</v>
      </c>
      <c r="P63" t="s">
        <v>26</v>
      </c>
      <c r="Q63">
        <v>2018</v>
      </c>
      <c r="R63" t="s">
        <v>52</v>
      </c>
      <c r="S63" t="s">
        <v>28</v>
      </c>
      <c r="T63" t="s">
        <v>29</v>
      </c>
    </row>
    <row r="64" spans="1:20" x14ac:dyDescent="0.35">
      <c r="A64" t="s">
        <v>18</v>
      </c>
      <c r="B64" t="s">
        <v>222</v>
      </c>
      <c r="C64" t="s">
        <v>223</v>
      </c>
      <c r="D64" t="s">
        <v>21</v>
      </c>
      <c r="E64">
        <v>50.583300000000001</v>
      </c>
      <c r="F64">
        <v>21.683299999999999</v>
      </c>
      <c r="G64" t="s">
        <v>32</v>
      </c>
      <c r="H64" t="s">
        <v>33</v>
      </c>
      <c r="I64" t="s">
        <v>224</v>
      </c>
      <c r="J64" t="s">
        <v>47</v>
      </c>
      <c r="K64">
        <v>5</v>
      </c>
      <c r="L64">
        <v>722</v>
      </c>
      <c r="M64">
        <v>3610</v>
      </c>
      <c r="N64">
        <v>3610</v>
      </c>
      <c r="O64">
        <v>0</v>
      </c>
      <c r="P64" t="s">
        <v>26</v>
      </c>
      <c r="Q64">
        <v>2018</v>
      </c>
      <c r="R64" t="s">
        <v>70</v>
      </c>
      <c r="S64" t="s">
        <v>71</v>
      </c>
      <c r="T64" t="s">
        <v>72</v>
      </c>
    </row>
    <row r="65" spans="1:20" x14ac:dyDescent="0.35">
      <c r="A65" t="s">
        <v>18</v>
      </c>
      <c r="B65" t="s">
        <v>225</v>
      </c>
      <c r="C65" t="s">
        <v>226</v>
      </c>
      <c r="D65" t="s">
        <v>21</v>
      </c>
      <c r="E65">
        <v>54.216700000000003</v>
      </c>
      <c r="F65">
        <v>21.75</v>
      </c>
      <c r="G65" t="s">
        <v>22</v>
      </c>
      <c r="H65" t="s">
        <v>23</v>
      </c>
      <c r="I65" t="s">
        <v>227</v>
      </c>
      <c r="J65" t="s">
        <v>86</v>
      </c>
      <c r="K65">
        <v>30</v>
      </c>
      <c r="L65">
        <v>373</v>
      </c>
      <c r="M65">
        <v>11190</v>
      </c>
      <c r="N65">
        <v>11190</v>
      </c>
      <c r="O65">
        <v>0</v>
      </c>
      <c r="P65" t="s">
        <v>26</v>
      </c>
      <c r="Q65">
        <v>2018</v>
      </c>
      <c r="R65" t="s">
        <v>115</v>
      </c>
      <c r="S65" t="s">
        <v>58</v>
      </c>
      <c r="T65" t="s">
        <v>59</v>
      </c>
    </row>
    <row r="66" spans="1:20" x14ac:dyDescent="0.35">
      <c r="A66" t="s">
        <v>18</v>
      </c>
      <c r="B66" t="s">
        <v>48</v>
      </c>
      <c r="C66" t="s">
        <v>49</v>
      </c>
      <c r="D66" t="s">
        <v>21</v>
      </c>
      <c r="E66">
        <v>53.78</v>
      </c>
      <c r="F66">
        <v>20.494199999999999</v>
      </c>
      <c r="G66" t="s">
        <v>32</v>
      </c>
      <c r="H66" t="s">
        <v>33</v>
      </c>
      <c r="I66" t="s">
        <v>228</v>
      </c>
      <c r="J66" t="s">
        <v>134</v>
      </c>
      <c r="K66">
        <v>10</v>
      </c>
      <c r="L66">
        <v>686</v>
      </c>
      <c r="M66">
        <v>6860</v>
      </c>
      <c r="N66">
        <v>6860</v>
      </c>
      <c r="O66">
        <v>0</v>
      </c>
      <c r="P66" t="s">
        <v>26</v>
      </c>
      <c r="Q66">
        <v>2018</v>
      </c>
      <c r="R66" t="s">
        <v>41</v>
      </c>
      <c r="S66" t="s">
        <v>42</v>
      </c>
      <c r="T66" t="s">
        <v>43</v>
      </c>
    </row>
    <row r="67" spans="1:20" x14ac:dyDescent="0.35">
      <c r="A67" t="s">
        <v>18</v>
      </c>
      <c r="B67" t="s">
        <v>229</v>
      </c>
      <c r="C67" t="s">
        <v>230</v>
      </c>
      <c r="D67" t="s">
        <v>21</v>
      </c>
      <c r="E67">
        <v>54.441899999999997</v>
      </c>
      <c r="F67">
        <v>18.547799999999999</v>
      </c>
      <c r="G67" t="s">
        <v>22</v>
      </c>
      <c r="H67" t="s">
        <v>23</v>
      </c>
      <c r="I67" t="s">
        <v>231</v>
      </c>
      <c r="J67" t="s">
        <v>134</v>
      </c>
      <c r="K67">
        <v>20</v>
      </c>
      <c r="L67">
        <v>206</v>
      </c>
      <c r="M67">
        <v>4120</v>
      </c>
      <c r="N67">
        <v>4120</v>
      </c>
      <c r="O67">
        <v>0</v>
      </c>
      <c r="P67" t="s">
        <v>26</v>
      </c>
      <c r="Q67">
        <v>2018</v>
      </c>
      <c r="R67" t="s">
        <v>36</v>
      </c>
      <c r="S67" t="s">
        <v>28</v>
      </c>
      <c r="T67" t="s">
        <v>29</v>
      </c>
    </row>
    <row r="68" spans="1:20" x14ac:dyDescent="0.35">
      <c r="A68" t="s">
        <v>18</v>
      </c>
      <c r="B68" t="s">
        <v>232</v>
      </c>
      <c r="C68" t="s">
        <v>233</v>
      </c>
      <c r="D68" t="s">
        <v>21</v>
      </c>
      <c r="E68">
        <v>51.305</v>
      </c>
      <c r="F68">
        <v>17.061399999999999</v>
      </c>
      <c r="G68" t="s">
        <v>22</v>
      </c>
      <c r="H68" t="s">
        <v>79</v>
      </c>
      <c r="I68" t="s">
        <v>85</v>
      </c>
      <c r="J68" t="s">
        <v>86</v>
      </c>
      <c r="K68">
        <v>15</v>
      </c>
      <c r="L68">
        <v>249</v>
      </c>
      <c r="M68">
        <v>3735</v>
      </c>
      <c r="N68">
        <v>3735</v>
      </c>
      <c r="O68">
        <v>0</v>
      </c>
      <c r="P68" t="s">
        <v>26</v>
      </c>
      <c r="Q68">
        <v>2018</v>
      </c>
      <c r="R68" t="s">
        <v>76</v>
      </c>
      <c r="S68" t="s">
        <v>42</v>
      </c>
      <c r="T68" t="s">
        <v>43</v>
      </c>
    </row>
    <row r="69" spans="1:20" x14ac:dyDescent="0.35">
      <c r="A69" t="s">
        <v>18</v>
      </c>
      <c r="B69" t="s">
        <v>234</v>
      </c>
      <c r="C69" t="s">
        <v>235</v>
      </c>
      <c r="D69" t="s">
        <v>21</v>
      </c>
      <c r="E69">
        <v>50.473799999999997</v>
      </c>
      <c r="F69">
        <v>17.334399999999999</v>
      </c>
      <c r="G69" t="s">
        <v>32</v>
      </c>
      <c r="H69" t="s">
        <v>33</v>
      </c>
      <c r="I69" t="s">
        <v>236</v>
      </c>
      <c r="J69" t="s">
        <v>86</v>
      </c>
      <c r="K69">
        <v>4</v>
      </c>
      <c r="L69">
        <v>26</v>
      </c>
      <c r="M69">
        <v>104</v>
      </c>
      <c r="N69">
        <v>104</v>
      </c>
      <c r="O69">
        <v>0</v>
      </c>
      <c r="P69" t="s">
        <v>26</v>
      </c>
      <c r="Q69">
        <v>2018</v>
      </c>
      <c r="R69" t="s">
        <v>105</v>
      </c>
      <c r="S69" t="s">
        <v>71</v>
      </c>
      <c r="T69" t="s">
        <v>72</v>
      </c>
    </row>
    <row r="70" spans="1:20" x14ac:dyDescent="0.35">
      <c r="A70" t="s">
        <v>18</v>
      </c>
      <c r="B70" t="s">
        <v>129</v>
      </c>
      <c r="C70" t="s">
        <v>130</v>
      </c>
      <c r="D70" t="s">
        <v>21</v>
      </c>
      <c r="E70">
        <v>52.183300000000003</v>
      </c>
      <c r="F70">
        <v>20.85</v>
      </c>
      <c r="G70" t="s">
        <v>22</v>
      </c>
      <c r="H70" t="s">
        <v>23</v>
      </c>
      <c r="I70" t="s">
        <v>237</v>
      </c>
      <c r="J70" t="s">
        <v>25</v>
      </c>
      <c r="K70">
        <v>5</v>
      </c>
      <c r="L70">
        <v>201</v>
      </c>
      <c r="M70">
        <v>1005</v>
      </c>
      <c r="N70">
        <v>1005</v>
      </c>
      <c r="O70">
        <v>0</v>
      </c>
      <c r="P70" t="s">
        <v>26</v>
      </c>
      <c r="Q70">
        <v>2018</v>
      </c>
      <c r="R70" t="s">
        <v>119</v>
      </c>
      <c r="S70" t="s">
        <v>71</v>
      </c>
      <c r="T70" t="s">
        <v>72</v>
      </c>
    </row>
    <row r="71" spans="1:20" x14ac:dyDescent="0.35">
      <c r="A71" t="s">
        <v>18</v>
      </c>
      <c r="B71" t="s">
        <v>238</v>
      </c>
      <c r="C71" t="s">
        <v>239</v>
      </c>
      <c r="D71" t="s">
        <v>21</v>
      </c>
      <c r="E71">
        <v>52.333300000000001</v>
      </c>
      <c r="F71">
        <v>16.883299999999998</v>
      </c>
      <c r="G71" t="s">
        <v>22</v>
      </c>
      <c r="H71" t="s">
        <v>23</v>
      </c>
      <c r="I71" t="s">
        <v>46</v>
      </c>
      <c r="J71" t="s">
        <v>47</v>
      </c>
      <c r="K71">
        <v>2</v>
      </c>
      <c r="L71">
        <v>435</v>
      </c>
      <c r="M71">
        <v>870</v>
      </c>
      <c r="N71">
        <v>870</v>
      </c>
      <c r="O71">
        <v>0</v>
      </c>
      <c r="P71" t="s">
        <v>185</v>
      </c>
      <c r="Q71">
        <v>2018</v>
      </c>
      <c r="R71" t="s">
        <v>57</v>
      </c>
      <c r="S71" t="s">
        <v>58</v>
      </c>
      <c r="T71" t="s">
        <v>59</v>
      </c>
    </row>
    <row r="72" spans="1:20" x14ac:dyDescent="0.35">
      <c r="A72" t="s">
        <v>18</v>
      </c>
      <c r="B72" t="s">
        <v>160</v>
      </c>
      <c r="C72" t="s">
        <v>161</v>
      </c>
      <c r="D72" t="s">
        <v>21</v>
      </c>
      <c r="E72">
        <v>53.2667</v>
      </c>
      <c r="F72">
        <v>16.466699999999999</v>
      </c>
      <c r="G72" t="s">
        <v>22</v>
      </c>
      <c r="H72" t="s">
        <v>79</v>
      </c>
      <c r="I72" t="s">
        <v>191</v>
      </c>
      <c r="J72" t="s">
        <v>25</v>
      </c>
      <c r="K72">
        <v>6</v>
      </c>
      <c r="L72">
        <v>488</v>
      </c>
      <c r="M72">
        <v>2928</v>
      </c>
      <c r="N72">
        <v>2928</v>
      </c>
      <c r="O72">
        <v>0</v>
      </c>
      <c r="P72" t="s">
        <v>26</v>
      </c>
      <c r="Q72">
        <v>2018</v>
      </c>
      <c r="R72" t="s">
        <v>52</v>
      </c>
      <c r="S72" t="s">
        <v>28</v>
      </c>
      <c r="T72" t="s">
        <v>29</v>
      </c>
    </row>
    <row r="73" spans="1:20" x14ac:dyDescent="0.35">
      <c r="A73" t="s">
        <v>18</v>
      </c>
      <c r="B73" t="s">
        <v>240</v>
      </c>
      <c r="C73" t="s">
        <v>241</v>
      </c>
      <c r="D73" t="s">
        <v>21</v>
      </c>
      <c r="E73">
        <v>52.2453</v>
      </c>
      <c r="F73">
        <v>19.6236</v>
      </c>
      <c r="G73" t="s">
        <v>22</v>
      </c>
      <c r="H73" t="s">
        <v>79</v>
      </c>
      <c r="I73" t="s">
        <v>242</v>
      </c>
      <c r="J73" t="s">
        <v>47</v>
      </c>
      <c r="K73">
        <v>10</v>
      </c>
      <c r="L73">
        <v>179</v>
      </c>
      <c r="M73">
        <v>1790</v>
      </c>
      <c r="N73">
        <v>1790</v>
      </c>
      <c r="O73">
        <v>0</v>
      </c>
      <c r="P73" t="s">
        <v>26</v>
      </c>
      <c r="Q73">
        <v>2018</v>
      </c>
      <c r="R73" t="s">
        <v>70</v>
      </c>
      <c r="S73" t="s">
        <v>71</v>
      </c>
      <c r="T73" t="s">
        <v>72</v>
      </c>
    </row>
    <row r="74" spans="1:20" x14ac:dyDescent="0.35">
      <c r="A74" t="s">
        <v>18</v>
      </c>
      <c r="B74" t="s">
        <v>215</v>
      </c>
      <c r="C74" t="s">
        <v>216</v>
      </c>
      <c r="D74" t="s">
        <v>21</v>
      </c>
      <c r="E74">
        <v>53.252400000000002</v>
      </c>
      <c r="F74">
        <v>14.488300000000001</v>
      </c>
      <c r="G74" t="s">
        <v>22</v>
      </c>
      <c r="H74" t="s">
        <v>79</v>
      </c>
      <c r="I74" t="s">
        <v>243</v>
      </c>
      <c r="J74" t="s">
        <v>47</v>
      </c>
      <c r="K74">
        <v>6</v>
      </c>
      <c r="L74">
        <v>682</v>
      </c>
      <c r="M74">
        <v>4092</v>
      </c>
      <c r="N74">
        <v>4092</v>
      </c>
      <c r="O74">
        <v>0</v>
      </c>
      <c r="P74" t="s">
        <v>26</v>
      </c>
      <c r="Q74">
        <v>2018</v>
      </c>
      <c r="R74" t="s">
        <v>27</v>
      </c>
      <c r="S74" t="s">
        <v>28</v>
      </c>
      <c r="T74" t="s">
        <v>29</v>
      </c>
    </row>
    <row r="75" spans="1:20" x14ac:dyDescent="0.35">
      <c r="A75" t="s">
        <v>18</v>
      </c>
      <c r="B75" t="s">
        <v>222</v>
      </c>
      <c r="C75" t="s">
        <v>223</v>
      </c>
      <c r="D75" t="s">
        <v>21</v>
      </c>
      <c r="E75">
        <v>50.583300000000001</v>
      </c>
      <c r="F75">
        <v>21.683299999999999</v>
      </c>
      <c r="G75" t="s">
        <v>32</v>
      </c>
      <c r="H75" t="s">
        <v>33</v>
      </c>
      <c r="I75" t="s">
        <v>244</v>
      </c>
      <c r="J75" t="s">
        <v>35</v>
      </c>
      <c r="K75">
        <v>3</v>
      </c>
      <c r="L75">
        <v>497</v>
      </c>
      <c r="M75">
        <v>1491</v>
      </c>
      <c r="N75">
        <v>1491</v>
      </c>
      <c r="O75">
        <v>0</v>
      </c>
      <c r="P75" t="s">
        <v>26</v>
      </c>
      <c r="Q75">
        <v>2018</v>
      </c>
      <c r="R75" t="s">
        <v>82</v>
      </c>
      <c r="S75" t="s">
        <v>58</v>
      </c>
      <c r="T75" t="s">
        <v>59</v>
      </c>
    </row>
    <row r="76" spans="1:20" x14ac:dyDescent="0.35">
      <c r="A76" t="s">
        <v>18</v>
      </c>
      <c r="B76" t="s">
        <v>129</v>
      </c>
      <c r="C76" t="s">
        <v>130</v>
      </c>
      <c r="D76" t="s">
        <v>21</v>
      </c>
      <c r="E76">
        <v>52.183300000000003</v>
      </c>
      <c r="F76">
        <v>20.85</v>
      </c>
      <c r="G76" t="s">
        <v>22</v>
      </c>
      <c r="H76" t="s">
        <v>23</v>
      </c>
      <c r="I76" t="s">
        <v>245</v>
      </c>
      <c r="J76" t="s">
        <v>86</v>
      </c>
      <c r="K76">
        <v>10</v>
      </c>
      <c r="L76">
        <v>269</v>
      </c>
      <c r="M76">
        <v>2690</v>
      </c>
      <c r="N76">
        <v>2690</v>
      </c>
      <c r="O76">
        <v>0</v>
      </c>
      <c r="P76" t="s">
        <v>26</v>
      </c>
      <c r="Q76">
        <v>2018</v>
      </c>
      <c r="R76" t="s">
        <v>41</v>
      </c>
      <c r="S76" t="s">
        <v>42</v>
      </c>
      <c r="T76" t="s">
        <v>43</v>
      </c>
    </row>
    <row r="77" spans="1:20" x14ac:dyDescent="0.35">
      <c r="A77" t="s">
        <v>18</v>
      </c>
      <c r="B77" t="s">
        <v>246</v>
      </c>
      <c r="C77" t="s">
        <v>247</v>
      </c>
      <c r="D77" t="s">
        <v>21</v>
      </c>
      <c r="E77">
        <v>51.2667</v>
      </c>
      <c r="F77">
        <v>15.933299999999999</v>
      </c>
      <c r="G77" t="s">
        <v>32</v>
      </c>
      <c r="H77" t="s">
        <v>39</v>
      </c>
      <c r="I77" t="s">
        <v>248</v>
      </c>
      <c r="J77" t="s">
        <v>86</v>
      </c>
      <c r="K77">
        <v>2</v>
      </c>
      <c r="L77">
        <v>284</v>
      </c>
      <c r="M77">
        <v>568</v>
      </c>
      <c r="N77">
        <v>568</v>
      </c>
      <c r="O77">
        <v>0</v>
      </c>
      <c r="P77" t="s">
        <v>185</v>
      </c>
      <c r="Q77">
        <v>2018</v>
      </c>
      <c r="R77" t="s">
        <v>115</v>
      </c>
      <c r="S77" t="s">
        <v>58</v>
      </c>
      <c r="T77" t="s">
        <v>59</v>
      </c>
    </row>
    <row r="78" spans="1:20" x14ac:dyDescent="0.35">
      <c r="A78" t="s">
        <v>18</v>
      </c>
      <c r="B78" t="s">
        <v>249</v>
      </c>
      <c r="C78" t="s">
        <v>250</v>
      </c>
      <c r="D78" t="s">
        <v>21</v>
      </c>
      <c r="E78">
        <v>52.124299999999998</v>
      </c>
      <c r="F78">
        <v>20.665400000000002</v>
      </c>
      <c r="G78" t="s">
        <v>32</v>
      </c>
      <c r="H78" t="s">
        <v>33</v>
      </c>
      <c r="I78" t="s">
        <v>251</v>
      </c>
      <c r="J78" t="s">
        <v>47</v>
      </c>
      <c r="K78">
        <v>10</v>
      </c>
      <c r="L78">
        <v>624</v>
      </c>
      <c r="M78">
        <v>6240</v>
      </c>
      <c r="N78">
        <v>6240</v>
      </c>
      <c r="O78">
        <v>0</v>
      </c>
      <c r="P78" t="s">
        <v>26</v>
      </c>
      <c r="Q78">
        <v>2018</v>
      </c>
      <c r="R78" t="s">
        <v>52</v>
      </c>
      <c r="S78" t="s">
        <v>28</v>
      </c>
      <c r="T78" t="s">
        <v>29</v>
      </c>
    </row>
    <row r="79" spans="1:20" x14ac:dyDescent="0.35">
      <c r="A79" t="s">
        <v>18</v>
      </c>
      <c r="B79" t="s">
        <v>252</v>
      </c>
      <c r="C79" t="s">
        <v>253</v>
      </c>
      <c r="D79" t="s">
        <v>21</v>
      </c>
      <c r="E79">
        <v>53.562800000000003</v>
      </c>
      <c r="F79">
        <v>20.985299999999999</v>
      </c>
      <c r="G79" t="s">
        <v>22</v>
      </c>
      <c r="H79" t="s">
        <v>79</v>
      </c>
      <c r="I79" t="s">
        <v>254</v>
      </c>
      <c r="J79" t="s">
        <v>47</v>
      </c>
      <c r="K79">
        <v>4</v>
      </c>
      <c r="L79">
        <v>746</v>
      </c>
      <c r="M79">
        <v>2984</v>
      </c>
      <c r="N79">
        <v>2984</v>
      </c>
      <c r="O79">
        <v>0</v>
      </c>
      <c r="P79" t="s">
        <v>26</v>
      </c>
      <c r="Q79">
        <v>2018</v>
      </c>
      <c r="R79" t="s">
        <v>105</v>
      </c>
      <c r="S79" t="s">
        <v>71</v>
      </c>
      <c r="T79" t="s">
        <v>72</v>
      </c>
    </row>
    <row r="80" spans="1:20" x14ac:dyDescent="0.35">
      <c r="A80" t="s">
        <v>18</v>
      </c>
      <c r="B80" t="s">
        <v>255</v>
      </c>
      <c r="C80" t="s">
        <v>256</v>
      </c>
      <c r="D80" t="s">
        <v>21</v>
      </c>
      <c r="E80">
        <v>52.183300000000003</v>
      </c>
      <c r="F80">
        <v>22.283300000000001</v>
      </c>
      <c r="G80" t="s">
        <v>32</v>
      </c>
      <c r="H80" t="s">
        <v>33</v>
      </c>
      <c r="I80" t="s">
        <v>257</v>
      </c>
      <c r="J80" t="s">
        <v>95</v>
      </c>
      <c r="K80">
        <v>5</v>
      </c>
      <c r="L80">
        <v>628</v>
      </c>
      <c r="M80">
        <v>3140</v>
      </c>
      <c r="N80">
        <v>3140</v>
      </c>
      <c r="O80">
        <v>0</v>
      </c>
      <c r="P80" t="s">
        <v>26</v>
      </c>
      <c r="Q80">
        <v>2018</v>
      </c>
      <c r="R80" t="s">
        <v>52</v>
      </c>
      <c r="S80" t="s">
        <v>28</v>
      </c>
      <c r="T80" t="s">
        <v>29</v>
      </c>
    </row>
    <row r="81" spans="1:20" x14ac:dyDescent="0.35">
      <c r="A81" t="s">
        <v>18</v>
      </c>
      <c r="B81" t="s">
        <v>258</v>
      </c>
      <c r="C81" t="s">
        <v>259</v>
      </c>
      <c r="D81" t="s">
        <v>21</v>
      </c>
      <c r="E81">
        <v>53.116700000000002</v>
      </c>
      <c r="F81">
        <v>23.166699999999999</v>
      </c>
      <c r="G81" t="s">
        <v>32</v>
      </c>
      <c r="H81" t="s">
        <v>33</v>
      </c>
      <c r="I81" t="s">
        <v>260</v>
      </c>
      <c r="J81" t="s">
        <v>86</v>
      </c>
      <c r="K81">
        <v>20</v>
      </c>
      <c r="L81">
        <v>137</v>
      </c>
      <c r="M81">
        <v>2740</v>
      </c>
      <c r="N81">
        <v>2740</v>
      </c>
      <c r="O81">
        <v>0</v>
      </c>
      <c r="P81" t="s">
        <v>26</v>
      </c>
      <c r="Q81">
        <v>2018</v>
      </c>
      <c r="R81" t="s">
        <v>119</v>
      </c>
      <c r="S81" t="s">
        <v>71</v>
      </c>
      <c r="T81" t="s">
        <v>72</v>
      </c>
    </row>
    <row r="82" spans="1:20" x14ac:dyDescent="0.35">
      <c r="A82" t="s">
        <v>18</v>
      </c>
      <c r="B82" t="s">
        <v>261</v>
      </c>
      <c r="C82" t="s">
        <v>262</v>
      </c>
      <c r="D82" t="s">
        <v>21</v>
      </c>
      <c r="E82">
        <v>52.702500000000001</v>
      </c>
      <c r="F82">
        <v>21.082799999999999</v>
      </c>
      <c r="G82" t="s">
        <v>22</v>
      </c>
      <c r="H82" t="s">
        <v>23</v>
      </c>
      <c r="I82" t="s">
        <v>263</v>
      </c>
      <c r="J82" t="s">
        <v>86</v>
      </c>
      <c r="K82">
        <v>20</v>
      </c>
      <c r="L82">
        <v>627</v>
      </c>
      <c r="M82">
        <v>12540</v>
      </c>
      <c r="N82">
        <v>12540</v>
      </c>
      <c r="O82">
        <v>0</v>
      </c>
      <c r="P82" t="s">
        <v>26</v>
      </c>
      <c r="Q82">
        <v>2018</v>
      </c>
      <c r="R82" t="s">
        <v>70</v>
      </c>
      <c r="S82" t="s">
        <v>71</v>
      </c>
      <c r="T82" t="s">
        <v>72</v>
      </c>
    </row>
    <row r="83" spans="1:20" x14ac:dyDescent="0.35">
      <c r="A83" t="s">
        <v>18</v>
      </c>
      <c r="B83" t="s">
        <v>60</v>
      </c>
      <c r="C83" t="s">
        <v>61</v>
      </c>
      <c r="D83" t="s">
        <v>264</v>
      </c>
      <c r="E83">
        <v>52.7958</v>
      </c>
      <c r="F83">
        <v>18.261099999999999</v>
      </c>
      <c r="G83" t="s">
        <v>32</v>
      </c>
      <c r="H83" t="s">
        <v>33</v>
      </c>
      <c r="I83" t="s">
        <v>265</v>
      </c>
      <c r="J83" t="s">
        <v>134</v>
      </c>
      <c r="K83">
        <v>35</v>
      </c>
      <c r="L83">
        <v>713</v>
      </c>
      <c r="M83">
        <v>24955</v>
      </c>
      <c r="N83">
        <v>24955</v>
      </c>
      <c r="O83">
        <v>0</v>
      </c>
      <c r="P83" t="s">
        <v>26</v>
      </c>
      <c r="Q83">
        <v>2018</v>
      </c>
      <c r="R83" t="s">
        <v>115</v>
      </c>
      <c r="S83" t="s">
        <v>58</v>
      </c>
      <c r="T83" t="s">
        <v>59</v>
      </c>
    </row>
    <row r="84" spans="1:20" x14ac:dyDescent="0.35">
      <c r="A84" t="s">
        <v>18</v>
      </c>
      <c r="B84" t="s">
        <v>266</v>
      </c>
      <c r="C84" t="s">
        <v>267</v>
      </c>
      <c r="D84" t="s">
        <v>21</v>
      </c>
      <c r="E84">
        <v>50.323900000000002</v>
      </c>
      <c r="F84">
        <v>19.194700000000001</v>
      </c>
      <c r="G84" t="s">
        <v>22</v>
      </c>
      <c r="H84" t="s">
        <v>79</v>
      </c>
      <c r="I84" t="s">
        <v>114</v>
      </c>
      <c r="J84" t="s">
        <v>86</v>
      </c>
      <c r="K84">
        <v>24</v>
      </c>
      <c r="L84">
        <v>307</v>
      </c>
      <c r="M84">
        <v>7368</v>
      </c>
      <c r="N84">
        <v>7368</v>
      </c>
      <c r="O84">
        <v>0</v>
      </c>
      <c r="P84" t="s">
        <v>26</v>
      </c>
      <c r="Q84">
        <v>2018</v>
      </c>
      <c r="R84" t="s">
        <v>119</v>
      </c>
      <c r="S84" t="s">
        <v>71</v>
      </c>
      <c r="T84" t="s">
        <v>72</v>
      </c>
    </row>
    <row r="85" spans="1:20" x14ac:dyDescent="0.35">
      <c r="A85" t="s">
        <v>18</v>
      </c>
      <c r="B85" t="s">
        <v>268</v>
      </c>
      <c r="C85" t="s">
        <v>269</v>
      </c>
      <c r="D85" t="s">
        <v>21</v>
      </c>
      <c r="E85">
        <v>51.783299999999997</v>
      </c>
      <c r="F85">
        <v>21.2</v>
      </c>
      <c r="G85" t="s">
        <v>22</v>
      </c>
      <c r="H85" t="s">
        <v>23</v>
      </c>
      <c r="I85" t="s">
        <v>265</v>
      </c>
      <c r="J85" t="s">
        <v>134</v>
      </c>
      <c r="K85">
        <v>4</v>
      </c>
      <c r="L85">
        <v>713</v>
      </c>
      <c r="M85">
        <v>2852</v>
      </c>
      <c r="N85">
        <v>2852</v>
      </c>
      <c r="O85">
        <v>0</v>
      </c>
      <c r="P85" t="s">
        <v>26</v>
      </c>
      <c r="Q85">
        <v>2018</v>
      </c>
      <c r="R85" t="s">
        <v>63</v>
      </c>
      <c r="S85" t="s">
        <v>28</v>
      </c>
      <c r="T85" t="s">
        <v>29</v>
      </c>
    </row>
    <row r="86" spans="1:20" x14ac:dyDescent="0.35">
      <c r="A86" t="s">
        <v>18</v>
      </c>
      <c r="B86" t="s">
        <v>270</v>
      </c>
      <c r="C86" t="s">
        <v>271</v>
      </c>
      <c r="D86" t="s">
        <v>21</v>
      </c>
      <c r="E86">
        <v>53.416699999999999</v>
      </c>
      <c r="F86">
        <v>19.583300000000001</v>
      </c>
      <c r="G86" t="s">
        <v>22</v>
      </c>
      <c r="H86" t="s">
        <v>79</v>
      </c>
      <c r="I86" t="s">
        <v>40</v>
      </c>
      <c r="J86" t="s">
        <v>35</v>
      </c>
      <c r="K86">
        <v>60</v>
      </c>
      <c r="L86">
        <v>66</v>
      </c>
      <c r="M86">
        <v>3960</v>
      </c>
      <c r="N86">
        <v>3960</v>
      </c>
      <c r="O86">
        <v>0</v>
      </c>
      <c r="P86" t="s">
        <v>26</v>
      </c>
      <c r="Q86">
        <v>2018</v>
      </c>
      <c r="R86" t="s">
        <v>63</v>
      </c>
      <c r="S86" t="s">
        <v>28</v>
      </c>
      <c r="T86" t="s">
        <v>29</v>
      </c>
    </row>
    <row r="87" spans="1:20" x14ac:dyDescent="0.35">
      <c r="A87" t="s">
        <v>18</v>
      </c>
      <c r="B87" t="s">
        <v>189</v>
      </c>
      <c r="C87" t="s">
        <v>190</v>
      </c>
      <c r="D87" t="s">
        <v>21</v>
      </c>
      <c r="E87">
        <v>53.755800000000001</v>
      </c>
      <c r="F87">
        <v>19.197500000000002</v>
      </c>
      <c r="G87" t="s">
        <v>22</v>
      </c>
      <c r="H87" t="s">
        <v>79</v>
      </c>
      <c r="I87" t="s">
        <v>265</v>
      </c>
      <c r="J87" t="s">
        <v>134</v>
      </c>
      <c r="K87">
        <v>5</v>
      </c>
      <c r="L87">
        <v>713</v>
      </c>
      <c r="M87">
        <v>3565</v>
      </c>
      <c r="N87">
        <v>3565</v>
      </c>
      <c r="O87">
        <v>0</v>
      </c>
      <c r="P87" t="s">
        <v>26</v>
      </c>
      <c r="Q87">
        <v>2018</v>
      </c>
      <c r="R87" t="s">
        <v>87</v>
      </c>
      <c r="S87" t="s">
        <v>42</v>
      </c>
      <c r="T87" t="s">
        <v>43</v>
      </c>
    </row>
    <row r="88" spans="1:20" x14ac:dyDescent="0.35">
      <c r="A88" t="s">
        <v>18</v>
      </c>
      <c r="B88" t="s">
        <v>272</v>
      </c>
      <c r="C88" t="s">
        <v>273</v>
      </c>
      <c r="D88" t="s">
        <v>264</v>
      </c>
      <c r="E88">
        <v>51.4</v>
      </c>
      <c r="F88">
        <v>19.683299999999999</v>
      </c>
      <c r="G88" t="s">
        <v>22</v>
      </c>
      <c r="H88" t="s">
        <v>23</v>
      </c>
      <c r="I88" t="s">
        <v>274</v>
      </c>
      <c r="J88" t="s">
        <v>95</v>
      </c>
      <c r="K88">
        <v>15</v>
      </c>
      <c r="L88">
        <v>610</v>
      </c>
      <c r="M88">
        <v>9150</v>
      </c>
      <c r="N88">
        <v>9150</v>
      </c>
      <c r="O88">
        <v>0</v>
      </c>
      <c r="P88" t="s">
        <v>26</v>
      </c>
      <c r="Q88">
        <v>2018</v>
      </c>
      <c r="R88" t="s">
        <v>115</v>
      </c>
      <c r="S88" t="s">
        <v>58</v>
      </c>
      <c r="T88" t="s">
        <v>59</v>
      </c>
    </row>
    <row r="89" spans="1:20" x14ac:dyDescent="0.35">
      <c r="A89" t="s">
        <v>18</v>
      </c>
      <c r="B89" t="s">
        <v>275</v>
      </c>
      <c r="C89" t="s">
        <v>276</v>
      </c>
      <c r="D89" t="s">
        <v>21</v>
      </c>
      <c r="E89">
        <v>50.672199999999997</v>
      </c>
      <c r="F89">
        <v>17.9253</v>
      </c>
      <c r="G89" t="s">
        <v>32</v>
      </c>
      <c r="H89" t="s">
        <v>33</v>
      </c>
      <c r="I89" t="s">
        <v>277</v>
      </c>
      <c r="J89" t="s">
        <v>86</v>
      </c>
      <c r="K89">
        <v>10</v>
      </c>
      <c r="L89">
        <v>794</v>
      </c>
      <c r="M89">
        <v>7940</v>
      </c>
      <c r="N89">
        <v>7940</v>
      </c>
      <c r="O89">
        <v>0</v>
      </c>
      <c r="P89" t="s">
        <v>26</v>
      </c>
      <c r="Q89">
        <v>2018</v>
      </c>
      <c r="R89" t="s">
        <v>70</v>
      </c>
      <c r="S89" t="s">
        <v>71</v>
      </c>
      <c r="T89" t="s">
        <v>72</v>
      </c>
    </row>
    <row r="90" spans="1:20" x14ac:dyDescent="0.35">
      <c r="A90" t="s">
        <v>18</v>
      </c>
      <c r="B90" t="s">
        <v>146</v>
      </c>
      <c r="C90" t="s">
        <v>147</v>
      </c>
      <c r="D90" t="s">
        <v>21</v>
      </c>
      <c r="E90">
        <v>50.475099999999998</v>
      </c>
      <c r="F90">
        <v>17.965399999999999</v>
      </c>
      <c r="G90" t="s">
        <v>32</v>
      </c>
      <c r="H90" t="s">
        <v>39</v>
      </c>
      <c r="I90" t="s">
        <v>108</v>
      </c>
      <c r="J90" t="s">
        <v>86</v>
      </c>
      <c r="K90">
        <v>4</v>
      </c>
      <c r="L90">
        <v>288</v>
      </c>
      <c r="M90">
        <v>1152</v>
      </c>
      <c r="N90">
        <v>1152</v>
      </c>
      <c r="O90">
        <v>0</v>
      </c>
      <c r="P90" t="s">
        <v>26</v>
      </c>
      <c r="Q90">
        <v>2018</v>
      </c>
      <c r="R90" t="s">
        <v>52</v>
      </c>
      <c r="S90" t="s">
        <v>28</v>
      </c>
      <c r="T90" t="s">
        <v>29</v>
      </c>
    </row>
    <row r="91" spans="1:20" x14ac:dyDescent="0.35">
      <c r="A91" t="s">
        <v>18</v>
      </c>
      <c r="B91" t="s">
        <v>278</v>
      </c>
      <c r="C91" t="s">
        <v>279</v>
      </c>
      <c r="D91" t="s">
        <v>21</v>
      </c>
      <c r="E91">
        <v>51.9833</v>
      </c>
      <c r="F91">
        <v>22.8</v>
      </c>
      <c r="G91" t="s">
        <v>32</v>
      </c>
      <c r="H91" t="s">
        <v>33</v>
      </c>
      <c r="I91" t="s">
        <v>151</v>
      </c>
      <c r="J91" t="s">
        <v>134</v>
      </c>
      <c r="K91">
        <v>2</v>
      </c>
      <c r="L91">
        <v>164</v>
      </c>
      <c r="M91">
        <v>328</v>
      </c>
      <c r="N91">
        <v>328</v>
      </c>
      <c r="O91">
        <v>0</v>
      </c>
      <c r="P91" t="s">
        <v>26</v>
      </c>
      <c r="Q91">
        <v>2018</v>
      </c>
      <c r="R91" t="s">
        <v>41</v>
      </c>
      <c r="S91" t="s">
        <v>42</v>
      </c>
      <c r="T91" t="s">
        <v>43</v>
      </c>
    </row>
    <row r="92" spans="1:20" x14ac:dyDescent="0.35">
      <c r="A92" t="s">
        <v>18</v>
      </c>
      <c r="B92" t="s">
        <v>280</v>
      </c>
      <c r="C92" t="s">
        <v>281</v>
      </c>
      <c r="D92" t="s">
        <v>21</v>
      </c>
      <c r="E92">
        <v>52.253100000000003</v>
      </c>
      <c r="F92">
        <v>15.9178</v>
      </c>
      <c r="G92" t="s">
        <v>22</v>
      </c>
      <c r="H92" t="s">
        <v>23</v>
      </c>
      <c r="I92" t="s">
        <v>282</v>
      </c>
      <c r="J92" t="s">
        <v>86</v>
      </c>
      <c r="K92">
        <v>5</v>
      </c>
      <c r="L92">
        <v>659</v>
      </c>
      <c r="M92">
        <v>3295</v>
      </c>
      <c r="N92">
        <v>3295</v>
      </c>
      <c r="O92">
        <v>0</v>
      </c>
      <c r="P92" t="s">
        <v>26</v>
      </c>
      <c r="Q92">
        <v>2018</v>
      </c>
      <c r="R92" t="s">
        <v>82</v>
      </c>
      <c r="S92" t="s">
        <v>58</v>
      </c>
      <c r="T92" t="s">
        <v>59</v>
      </c>
    </row>
    <row r="93" spans="1:20" x14ac:dyDescent="0.35">
      <c r="A93" t="s">
        <v>18</v>
      </c>
      <c r="B93" t="s">
        <v>283</v>
      </c>
      <c r="C93" t="s">
        <v>284</v>
      </c>
      <c r="D93" t="s">
        <v>21</v>
      </c>
      <c r="E93">
        <v>54.383299999999998</v>
      </c>
      <c r="F93">
        <v>19.833300000000001</v>
      </c>
      <c r="G93" t="s">
        <v>32</v>
      </c>
      <c r="H93" t="s">
        <v>33</v>
      </c>
      <c r="I93" t="s">
        <v>285</v>
      </c>
      <c r="J93" t="s">
        <v>95</v>
      </c>
      <c r="K93">
        <v>6</v>
      </c>
      <c r="L93">
        <v>385</v>
      </c>
      <c r="M93">
        <v>2310</v>
      </c>
      <c r="N93">
        <v>2310</v>
      </c>
      <c r="O93">
        <v>0</v>
      </c>
      <c r="P93" t="s">
        <v>185</v>
      </c>
      <c r="Q93">
        <v>2018</v>
      </c>
      <c r="R93" t="s">
        <v>70</v>
      </c>
      <c r="S93" t="s">
        <v>71</v>
      </c>
      <c r="T93" t="s">
        <v>72</v>
      </c>
    </row>
    <row r="94" spans="1:20" x14ac:dyDescent="0.35">
      <c r="A94" t="s">
        <v>18</v>
      </c>
      <c r="B94" t="s">
        <v>286</v>
      </c>
      <c r="C94" t="s">
        <v>287</v>
      </c>
      <c r="D94" t="s">
        <v>21</v>
      </c>
      <c r="E94">
        <v>50.297600000000003</v>
      </c>
      <c r="F94">
        <v>18.676600000000001</v>
      </c>
      <c r="G94" t="s">
        <v>32</v>
      </c>
      <c r="H94" t="s">
        <v>33</v>
      </c>
      <c r="I94" t="s">
        <v>66</v>
      </c>
      <c r="J94" t="s">
        <v>25</v>
      </c>
      <c r="K94">
        <v>5</v>
      </c>
      <c r="L94">
        <v>742</v>
      </c>
      <c r="M94">
        <v>3710</v>
      </c>
      <c r="N94">
        <v>3710</v>
      </c>
      <c r="O94">
        <v>0</v>
      </c>
      <c r="P94" t="s">
        <v>26</v>
      </c>
      <c r="Q94">
        <v>2018</v>
      </c>
      <c r="R94" t="s">
        <v>36</v>
      </c>
      <c r="S94" t="s">
        <v>28</v>
      </c>
      <c r="T94" t="s">
        <v>29</v>
      </c>
    </row>
    <row r="95" spans="1:20" x14ac:dyDescent="0.35">
      <c r="A95" t="s">
        <v>18</v>
      </c>
      <c r="B95" t="s">
        <v>288</v>
      </c>
      <c r="C95" t="s">
        <v>289</v>
      </c>
      <c r="D95" t="s">
        <v>21</v>
      </c>
      <c r="E95">
        <v>49.75</v>
      </c>
      <c r="F95">
        <v>18.633299999999998</v>
      </c>
      <c r="G95" t="s">
        <v>32</v>
      </c>
      <c r="H95" t="s">
        <v>33</v>
      </c>
      <c r="I95" t="s">
        <v>151</v>
      </c>
      <c r="J95" t="s">
        <v>134</v>
      </c>
      <c r="K95">
        <v>3</v>
      </c>
      <c r="L95">
        <v>164</v>
      </c>
      <c r="M95">
        <v>492</v>
      </c>
      <c r="N95">
        <v>492</v>
      </c>
      <c r="O95">
        <v>0</v>
      </c>
      <c r="P95" t="s">
        <v>26</v>
      </c>
      <c r="Q95">
        <v>2018</v>
      </c>
      <c r="R95" t="s">
        <v>87</v>
      </c>
      <c r="S95" t="s">
        <v>42</v>
      </c>
      <c r="T95" t="s">
        <v>43</v>
      </c>
    </row>
    <row r="96" spans="1:20" x14ac:dyDescent="0.35">
      <c r="A96" t="s">
        <v>18</v>
      </c>
      <c r="B96" t="s">
        <v>290</v>
      </c>
      <c r="C96" t="s">
        <v>291</v>
      </c>
      <c r="D96" t="s">
        <v>21</v>
      </c>
      <c r="E96">
        <v>51.8</v>
      </c>
      <c r="F96">
        <v>16.3</v>
      </c>
      <c r="G96" t="s">
        <v>22</v>
      </c>
      <c r="H96" t="s">
        <v>23</v>
      </c>
      <c r="I96" t="s">
        <v>292</v>
      </c>
      <c r="J96" t="s">
        <v>47</v>
      </c>
      <c r="K96">
        <v>10</v>
      </c>
      <c r="L96">
        <v>298</v>
      </c>
      <c r="M96">
        <v>2980</v>
      </c>
      <c r="N96">
        <v>2980</v>
      </c>
      <c r="O96">
        <v>0</v>
      </c>
      <c r="P96" t="s">
        <v>26</v>
      </c>
      <c r="Q96">
        <v>2018</v>
      </c>
      <c r="R96" t="s">
        <v>105</v>
      </c>
      <c r="S96" t="s">
        <v>71</v>
      </c>
      <c r="T96" t="s">
        <v>72</v>
      </c>
    </row>
    <row r="97" spans="1:20" x14ac:dyDescent="0.35">
      <c r="A97" t="s">
        <v>18</v>
      </c>
      <c r="B97" t="s">
        <v>293</v>
      </c>
      <c r="C97" t="s">
        <v>294</v>
      </c>
      <c r="D97" t="s">
        <v>21</v>
      </c>
      <c r="E97">
        <v>53.349200000000003</v>
      </c>
      <c r="F97">
        <v>18.426100000000002</v>
      </c>
      <c r="G97" t="s">
        <v>22</v>
      </c>
      <c r="H97" t="s">
        <v>23</v>
      </c>
      <c r="I97" t="s">
        <v>274</v>
      </c>
      <c r="J97" t="s">
        <v>95</v>
      </c>
      <c r="K97">
        <v>10</v>
      </c>
      <c r="L97">
        <v>610</v>
      </c>
      <c r="M97">
        <v>6100</v>
      </c>
      <c r="N97">
        <v>6100</v>
      </c>
      <c r="O97">
        <v>0</v>
      </c>
      <c r="P97" t="s">
        <v>26</v>
      </c>
      <c r="Q97">
        <v>2018</v>
      </c>
      <c r="R97" t="s">
        <v>87</v>
      </c>
      <c r="S97" t="s">
        <v>42</v>
      </c>
      <c r="T97" t="s">
        <v>43</v>
      </c>
    </row>
    <row r="98" spans="1:20" x14ac:dyDescent="0.35">
      <c r="A98" t="s">
        <v>18</v>
      </c>
      <c r="B98" t="s">
        <v>295</v>
      </c>
      <c r="C98" t="s">
        <v>296</v>
      </c>
      <c r="D98" t="s">
        <v>21</v>
      </c>
      <c r="E98">
        <v>50.313099999999999</v>
      </c>
      <c r="F98">
        <v>17.374199999999998</v>
      </c>
      <c r="G98" t="s">
        <v>22</v>
      </c>
      <c r="H98" t="s">
        <v>79</v>
      </c>
      <c r="I98" t="s">
        <v>297</v>
      </c>
      <c r="J98" t="s">
        <v>86</v>
      </c>
      <c r="K98">
        <v>3</v>
      </c>
      <c r="L98">
        <v>318</v>
      </c>
      <c r="M98">
        <v>954</v>
      </c>
      <c r="N98">
        <v>954</v>
      </c>
      <c r="O98">
        <v>0</v>
      </c>
      <c r="P98" t="s">
        <v>26</v>
      </c>
      <c r="Q98">
        <v>2018</v>
      </c>
      <c r="R98" t="s">
        <v>105</v>
      </c>
      <c r="S98" t="s">
        <v>71</v>
      </c>
      <c r="T98" t="s">
        <v>72</v>
      </c>
    </row>
    <row r="99" spans="1:20" x14ac:dyDescent="0.35">
      <c r="A99" t="s">
        <v>18</v>
      </c>
      <c r="B99" t="s">
        <v>178</v>
      </c>
      <c r="C99" t="s">
        <v>179</v>
      </c>
      <c r="D99" t="s">
        <v>21</v>
      </c>
      <c r="E99">
        <v>54.166699999999999</v>
      </c>
      <c r="F99">
        <v>19.399999999999999</v>
      </c>
      <c r="G99" t="s">
        <v>32</v>
      </c>
      <c r="H99" t="s">
        <v>39</v>
      </c>
      <c r="I99" t="s">
        <v>298</v>
      </c>
      <c r="J99" t="s">
        <v>25</v>
      </c>
      <c r="K99">
        <v>6</v>
      </c>
      <c r="L99">
        <v>154</v>
      </c>
      <c r="M99">
        <v>924</v>
      </c>
      <c r="N99">
        <v>924</v>
      </c>
      <c r="O99">
        <v>0</v>
      </c>
      <c r="P99" t="s">
        <v>26</v>
      </c>
      <c r="Q99">
        <v>2018</v>
      </c>
      <c r="R99" t="s">
        <v>41</v>
      </c>
      <c r="S99" t="s">
        <v>42</v>
      </c>
      <c r="T99" t="s">
        <v>43</v>
      </c>
    </row>
    <row r="100" spans="1:20" x14ac:dyDescent="0.35">
      <c r="A100" t="s">
        <v>18</v>
      </c>
      <c r="B100" t="s">
        <v>123</v>
      </c>
      <c r="C100" t="s">
        <v>124</v>
      </c>
      <c r="D100" t="s">
        <v>21</v>
      </c>
      <c r="E100">
        <v>51.2667</v>
      </c>
      <c r="F100">
        <v>15.566700000000001</v>
      </c>
      <c r="G100" t="s">
        <v>32</v>
      </c>
      <c r="H100" t="s">
        <v>33</v>
      </c>
      <c r="I100" t="s">
        <v>299</v>
      </c>
      <c r="J100" t="s">
        <v>25</v>
      </c>
      <c r="K100">
        <v>30</v>
      </c>
      <c r="L100">
        <v>708</v>
      </c>
      <c r="M100">
        <v>21240</v>
      </c>
      <c r="N100">
        <v>21240</v>
      </c>
      <c r="O100">
        <v>0</v>
      </c>
      <c r="P100" t="s">
        <v>26</v>
      </c>
      <c r="Q100">
        <v>2018</v>
      </c>
      <c r="R100" t="s">
        <v>36</v>
      </c>
      <c r="S100" t="s">
        <v>28</v>
      </c>
      <c r="T100" t="s">
        <v>29</v>
      </c>
    </row>
    <row r="101" spans="1:20" x14ac:dyDescent="0.35">
      <c r="A101" t="s">
        <v>18</v>
      </c>
      <c r="B101" t="s">
        <v>300</v>
      </c>
      <c r="C101" t="s">
        <v>301</v>
      </c>
      <c r="D101" t="s">
        <v>264</v>
      </c>
      <c r="E101">
        <v>53.816699999999997</v>
      </c>
      <c r="F101">
        <v>22.35</v>
      </c>
      <c r="G101" t="s">
        <v>32</v>
      </c>
      <c r="H101" t="s">
        <v>33</v>
      </c>
      <c r="I101" t="s">
        <v>302</v>
      </c>
      <c r="J101" t="s">
        <v>86</v>
      </c>
      <c r="K101">
        <v>4</v>
      </c>
      <c r="L101">
        <v>121</v>
      </c>
      <c r="M101">
        <v>484</v>
      </c>
      <c r="N101">
        <v>484</v>
      </c>
      <c r="O101">
        <v>0</v>
      </c>
      <c r="P101" t="s">
        <v>26</v>
      </c>
      <c r="Q101">
        <v>2018</v>
      </c>
      <c r="R101" t="s">
        <v>70</v>
      </c>
      <c r="S101" t="s">
        <v>71</v>
      </c>
      <c r="T101" t="s">
        <v>72</v>
      </c>
    </row>
    <row r="102" spans="1:20" x14ac:dyDescent="0.35">
      <c r="A102" t="s">
        <v>18</v>
      </c>
      <c r="B102" t="s">
        <v>44</v>
      </c>
      <c r="C102" t="s">
        <v>45</v>
      </c>
      <c r="D102" t="s">
        <v>21</v>
      </c>
      <c r="E102">
        <v>50.333300000000001</v>
      </c>
      <c r="F102">
        <v>19.083300000000001</v>
      </c>
      <c r="G102" t="s">
        <v>22</v>
      </c>
      <c r="H102" t="s">
        <v>23</v>
      </c>
      <c r="I102" t="s">
        <v>303</v>
      </c>
      <c r="J102" t="s">
        <v>95</v>
      </c>
      <c r="K102">
        <v>5</v>
      </c>
      <c r="L102">
        <v>470</v>
      </c>
      <c r="M102">
        <v>2350</v>
      </c>
      <c r="N102">
        <v>2350</v>
      </c>
      <c r="O102">
        <v>0</v>
      </c>
      <c r="P102" t="s">
        <v>26</v>
      </c>
      <c r="Q102">
        <v>2018</v>
      </c>
      <c r="R102" t="s">
        <v>63</v>
      </c>
      <c r="S102" t="s">
        <v>28</v>
      </c>
      <c r="T102" t="s">
        <v>29</v>
      </c>
    </row>
    <row r="103" spans="1:20" x14ac:dyDescent="0.35">
      <c r="A103" t="s">
        <v>18</v>
      </c>
      <c r="B103" t="s">
        <v>272</v>
      </c>
      <c r="C103" t="s">
        <v>273</v>
      </c>
      <c r="D103" t="s">
        <v>21</v>
      </c>
      <c r="E103">
        <v>51.4</v>
      </c>
      <c r="F103">
        <v>19.683299999999999</v>
      </c>
      <c r="G103" t="s">
        <v>22</v>
      </c>
      <c r="H103" t="s">
        <v>23</v>
      </c>
      <c r="I103" t="s">
        <v>191</v>
      </c>
      <c r="J103" t="s">
        <v>25</v>
      </c>
      <c r="K103">
        <v>5</v>
      </c>
      <c r="L103">
        <v>488</v>
      </c>
      <c r="M103">
        <v>2440</v>
      </c>
      <c r="N103">
        <v>2440</v>
      </c>
      <c r="O103">
        <v>0</v>
      </c>
      <c r="P103" t="s">
        <v>26</v>
      </c>
      <c r="Q103">
        <v>2018</v>
      </c>
      <c r="R103" t="s">
        <v>41</v>
      </c>
      <c r="S103" t="s">
        <v>42</v>
      </c>
      <c r="T103" t="s">
        <v>43</v>
      </c>
    </row>
    <row r="104" spans="1:20" x14ac:dyDescent="0.35">
      <c r="A104" t="s">
        <v>18</v>
      </c>
      <c r="B104" t="s">
        <v>73</v>
      </c>
      <c r="C104" t="s">
        <v>74</v>
      </c>
      <c r="D104" t="s">
        <v>21</v>
      </c>
      <c r="E104">
        <v>50.061399999999999</v>
      </c>
      <c r="F104">
        <v>19.937200000000001</v>
      </c>
      <c r="G104" t="s">
        <v>22</v>
      </c>
      <c r="H104" t="s">
        <v>23</v>
      </c>
      <c r="I104" t="s">
        <v>304</v>
      </c>
      <c r="J104" t="s">
        <v>86</v>
      </c>
      <c r="K104">
        <v>10</v>
      </c>
      <c r="L104">
        <v>647</v>
      </c>
      <c r="M104">
        <v>6470</v>
      </c>
      <c r="N104">
        <v>6470</v>
      </c>
      <c r="O104">
        <v>0</v>
      </c>
      <c r="P104" t="s">
        <v>26</v>
      </c>
      <c r="Q104">
        <v>2018</v>
      </c>
      <c r="R104" t="s">
        <v>76</v>
      </c>
      <c r="S104" t="s">
        <v>42</v>
      </c>
      <c r="T104" t="s">
        <v>43</v>
      </c>
    </row>
    <row r="105" spans="1:20" x14ac:dyDescent="0.35">
      <c r="A105" t="s">
        <v>18</v>
      </c>
      <c r="B105" t="s">
        <v>305</v>
      </c>
      <c r="C105" t="s">
        <v>306</v>
      </c>
      <c r="D105" t="s">
        <v>21</v>
      </c>
      <c r="E105">
        <v>50.6</v>
      </c>
      <c r="F105">
        <v>17.0444</v>
      </c>
      <c r="G105" t="s">
        <v>22</v>
      </c>
      <c r="H105" t="s">
        <v>79</v>
      </c>
      <c r="I105" t="s">
        <v>307</v>
      </c>
      <c r="J105" t="s">
        <v>86</v>
      </c>
      <c r="K105">
        <v>6</v>
      </c>
      <c r="L105">
        <v>25</v>
      </c>
      <c r="M105">
        <v>150</v>
      </c>
      <c r="N105">
        <v>150</v>
      </c>
      <c r="O105">
        <v>0</v>
      </c>
      <c r="P105" t="s">
        <v>26</v>
      </c>
      <c r="Q105">
        <v>2018</v>
      </c>
      <c r="R105" t="s">
        <v>119</v>
      </c>
      <c r="S105" t="s">
        <v>71</v>
      </c>
      <c r="T105" t="s">
        <v>72</v>
      </c>
    </row>
    <row r="106" spans="1:20" x14ac:dyDescent="0.35">
      <c r="A106" t="s">
        <v>18</v>
      </c>
      <c r="B106" t="s">
        <v>308</v>
      </c>
      <c r="C106" t="s">
        <v>309</v>
      </c>
      <c r="D106" t="s">
        <v>264</v>
      </c>
      <c r="E106">
        <v>51.383299999999998</v>
      </c>
      <c r="F106">
        <v>20.283300000000001</v>
      </c>
      <c r="G106" t="s">
        <v>32</v>
      </c>
      <c r="H106" t="s">
        <v>39</v>
      </c>
      <c r="I106" t="s">
        <v>310</v>
      </c>
      <c r="J106" t="s">
        <v>86</v>
      </c>
      <c r="K106">
        <v>6</v>
      </c>
      <c r="L106">
        <v>182</v>
      </c>
      <c r="M106">
        <v>1092</v>
      </c>
      <c r="N106">
        <v>1092</v>
      </c>
      <c r="O106">
        <v>0</v>
      </c>
      <c r="P106" t="s">
        <v>26</v>
      </c>
      <c r="Q106">
        <v>2018</v>
      </c>
      <c r="R106" t="s">
        <v>41</v>
      </c>
      <c r="S106" t="s">
        <v>42</v>
      </c>
      <c r="T106" t="s">
        <v>43</v>
      </c>
    </row>
    <row r="107" spans="1:20" x14ac:dyDescent="0.35">
      <c r="A107" t="s">
        <v>18</v>
      </c>
      <c r="B107" t="s">
        <v>311</v>
      </c>
      <c r="C107" t="s">
        <v>312</v>
      </c>
      <c r="D107" t="s">
        <v>21</v>
      </c>
      <c r="E107">
        <v>49.784999999999997</v>
      </c>
      <c r="F107">
        <v>22.767299999999999</v>
      </c>
      <c r="G107" t="s">
        <v>32</v>
      </c>
      <c r="H107" t="s">
        <v>39</v>
      </c>
      <c r="I107" t="s">
        <v>313</v>
      </c>
      <c r="J107" t="s">
        <v>25</v>
      </c>
      <c r="K107">
        <v>10</v>
      </c>
      <c r="L107">
        <v>130</v>
      </c>
      <c r="M107">
        <v>1300</v>
      </c>
      <c r="N107">
        <v>1300</v>
      </c>
      <c r="O107">
        <v>0</v>
      </c>
      <c r="P107" t="s">
        <v>26</v>
      </c>
      <c r="Q107">
        <v>2018</v>
      </c>
      <c r="R107" t="s">
        <v>57</v>
      </c>
      <c r="S107" t="s">
        <v>58</v>
      </c>
      <c r="T107" t="s">
        <v>59</v>
      </c>
    </row>
    <row r="108" spans="1:20" x14ac:dyDescent="0.35">
      <c r="A108" t="s">
        <v>18</v>
      </c>
      <c r="B108" t="s">
        <v>314</v>
      </c>
      <c r="C108" t="s">
        <v>315</v>
      </c>
      <c r="D108" t="s">
        <v>21</v>
      </c>
      <c r="E108">
        <v>50.016199999999998</v>
      </c>
      <c r="F108">
        <v>22.677800000000001</v>
      </c>
      <c r="G108" t="s">
        <v>22</v>
      </c>
      <c r="H108" t="s">
        <v>79</v>
      </c>
      <c r="I108" t="s">
        <v>184</v>
      </c>
      <c r="J108" t="s">
        <v>35</v>
      </c>
      <c r="K108">
        <v>10</v>
      </c>
      <c r="L108">
        <v>122</v>
      </c>
      <c r="M108">
        <v>1220</v>
      </c>
      <c r="N108">
        <v>1220</v>
      </c>
      <c r="O108">
        <v>0</v>
      </c>
      <c r="P108" t="s">
        <v>26</v>
      </c>
      <c r="Q108">
        <v>2018</v>
      </c>
      <c r="R108" t="s">
        <v>119</v>
      </c>
      <c r="S108" t="s">
        <v>71</v>
      </c>
      <c r="T108" t="s">
        <v>72</v>
      </c>
    </row>
    <row r="109" spans="1:20" x14ac:dyDescent="0.35">
      <c r="A109" t="s">
        <v>18</v>
      </c>
      <c r="B109" t="s">
        <v>316</v>
      </c>
      <c r="C109" t="s">
        <v>317</v>
      </c>
      <c r="D109" t="s">
        <v>21</v>
      </c>
      <c r="E109">
        <v>54.566699999999997</v>
      </c>
      <c r="F109">
        <v>18.399999999999999</v>
      </c>
      <c r="G109" t="s">
        <v>32</v>
      </c>
      <c r="H109" t="s">
        <v>33</v>
      </c>
      <c r="I109" t="s">
        <v>318</v>
      </c>
      <c r="J109" t="s">
        <v>86</v>
      </c>
      <c r="K109">
        <v>8</v>
      </c>
      <c r="L109">
        <v>655</v>
      </c>
      <c r="M109">
        <v>5240</v>
      </c>
      <c r="N109">
        <v>5240</v>
      </c>
      <c r="O109">
        <v>0</v>
      </c>
      <c r="P109" t="s">
        <v>26</v>
      </c>
      <c r="Q109">
        <v>2018</v>
      </c>
      <c r="R109" t="s">
        <v>36</v>
      </c>
      <c r="S109" t="s">
        <v>28</v>
      </c>
      <c r="T109" t="s">
        <v>29</v>
      </c>
    </row>
    <row r="110" spans="1:20" x14ac:dyDescent="0.35">
      <c r="A110" t="s">
        <v>18</v>
      </c>
      <c r="B110" t="s">
        <v>319</v>
      </c>
      <c r="C110" t="s">
        <v>320</v>
      </c>
      <c r="D110" t="s">
        <v>21</v>
      </c>
      <c r="E110">
        <v>52.2333</v>
      </c>
      <c r="F110">
        <v>19.366700000000002</v>
      </c>
      <c r="G110" t="s">
        <v>32</v>
      </c>
      <c r="H110" t="s">
        <v>33</v>
      </c>
      <c r="I110" t="s">
        <v>321</v>
      </c>
      <c r="J110" t="s">
        <v>86</v>
      </c>
      <c r="K110">
        <v>5</v>
      </c>
      <c r="L110">
        <v>390</v>
      </c>
      <c r="M110">
        <v>1950</v>
      </c>
      <c r="N110">
        <v>1950</v>
      </c>
      <c r="O110">
        <v>0</v>
      </c>
      <c r="P110" t="s">
        <v>26</v>
      </c>
      <c r="Q110">
        <v>2018</v>
      </c>
      <c r="R110" t="s">
        <v>36</v>
      </c>
      <c r="S110" t="s">
        <v>28</v>
      </c>
      <c r="T110" t="s">
        <v>29</v>
      </c>
    </row>
    <row r="111" spans="1:20" x14ac:dyDescent="0.35">
      <c r="A111" t="s">
        <v>18</v>
      </c>
      <c r="B111" t="s">
        <v>116</v>
      </c>
      <c r="C111" t="s">
        <v>117</v>
      </c>
      <c r="D111" t="s">
        <v>21</v>
      </c>
      <c r="E111">
        <v>50.55</v>
      </c>
      <c r="F111">
        <v>22.7333</v>
      </c>
      <c r="G111" t="s">
        <v>32</v>
      </c>
      <c r="H111" t="s">
        <v>39</v>
      </c>
      <c r="I111" t="s">
        <v>197</v>
      </c>
      <c r="J111" t="s">
        <v>25</v>
      </c>
      <c r="K111">
        <v>8</v>
      </c>
      <c r="L111">
        <v>391</v>
      </c>
      <c r="M111">
        <v>3128</v>
      </c>
      <c r="N111">
        <v>3128</v>
      </c>
      <c r="O111">
        <v>0</v>
      </c>
      <c r="P111" t="s">
        <v>26</v>
      </c>
      <c r="Q111">
        <v>2018</v>
      </c>
      <c r="R111" t="s">
        <v>41</v>
      </c>
      <c r="S111" t="s">
        <v>42</v>
      </c>
      <c r="T111" t="s">
        <v>43</v>
      </c>
    </row>
    <row r="112" spans="1:20" x14ac:dyDescent="0.35">
      <c r="A112" t="s">
        <v>18</v>
      </c>
      <c r="B112" t="s">
        <v>322</v>
      </c>
      <c r="C112" t="s">
        <v>323</v>
      </c>
      <c r="D112" t="s">
        <v>21</v>
      </c>
      <c r="E112">
        <v>54.416699999999999</v>
      </c>
      <c r="F112">
        <v>16.416699999999999</v>
      </c>
      <c r="G112" t="s">
        <v>22</v>
      </c>
      <c r="H112" t="s">
        <v>23</v>
      </c>
      <c r="I112" t="s">
        <v>324</v>
      </c>
      <c r="J112" t="s">
        <v>95</v>
      </c>
      <c r="K112">
        <v>6</v>
      </c>
      <c r="L112">
        <v>782</v>
      </c>
      <c r="M112">
        <v>4692</v>
      </c>
      <c r="N112">
        <v>4692</v>
      </c>
      <c r="O112">
        <v>0</v>
      </c>
      <c r="P112" t="s">
        <v>26</v>
      </c>
      <c r="Q112">
        <v>2018</v>
      </c>
      <c r="R112" t="s">
        <v>105</v>
      </c>
      <c r="S112" t="s">
        <v>71</v>
      </c>
      <c r="T112" t="s">
        <v>72</v>
      </c>
    </row>
    <row r="113" spans="1:20" x14ac:dyDescent="0.35">
      <c r="A113" t="s">
        <v>18</v>
      </c>
      <c r="B113" t="s">
        <v>325</v>
      </c>
      <c r="C113" t="s">
        <v>326</v>
      </c>
      <c r="D113" t="s">
        <v>21</v>
      </c>
      <c r="E113">
        <v>51.107700000000001</v>
      </c>
      <c r="F113">
        <v>17.035299999999999</v>
      </c>
      <c r="G113" t="s">
        <v>22</v>
      </c>
      <c r="H113" t="s">
        <v>23</v>
      </c>
      <c r="I113" t="s">
        <v>327</v>
      </c>
      <c r="J113" t="s">
        <v>95</v>
      </c>
      <c r="K113">
        <v>6</v>
      </c>
      <c r="L113">
        <v>492</v>
      </c>
      <c r="M113">
        <v>2952</v>
      </c>
      <c r="N113">
        <v>2952</v>
      </c>
      <c r="O113">
        <v>0</v>
      </c>
      <c r="P113" t="s">
        <v>26</v>
      </c>
      <c r="Q113">
        <v>2018</v>
      </c>
      <c r="R113" t="s">
        <v>70</v>
      </c>
      <c r="S113" t="s">
        <v>71</v>
      </c>
      <c r="T113" t="s">
        <v>72</v>
      </c>
    </row>
    <row r="114" spans="1:20" x14ac:dyDescent="0.35">
      <c r="A114" t="s">
        <v>18</v>
      </c>
      <c r="B114" t="s">
        <v>328</v>
      </c>
      <c r="C114" t="s">
        <v>329</v>
      </c>
      <c r="D114" t="s">
        <v>21</v>
      </c>
      <c r="E114">
        <v>51</v>
      </c>
      <c r="F114">
        <v>16.333300000000001</v>
      </c>
      <c r="G114" t="s">
        <v>32</v>
      </c>
      <c r="H114" t="s">
        <v>39</v>
      </c>
      <c r="I114" t="s">
        <v>330</v>
      </c>
      <c r="J114" t="s">
        <v>25</v>
      </c>
      <c r="K114">
        <v>3</v>
      </c>
      <c r="L114">
        <v>520</v>
      </c>
      <c r="M114">
        <v>1560</v>
      </c>
      <c r="N114">
        <v>1560</v>
      </c>
      <c r="O114">
        <v>0</v>
      </c>
      <c r="P114" t="s">
        <v>26</v>
      </c>
      <c r="Q114">
        <v>2018</v>
      </c>
      <c r="R114" t="s">
        <v>87</v>
      </c>
      <c r="S114" t="s">
        <v>42</v>
      </c>
      <c r="T114" t="s">
        <v>43</v>
      </c>
    </row>
    <row r="115" spans="1:20" x14ac:dyDescent="0.35">
      <c r="A115" t="s">
        <v>18</v>
      </c>
      <c r="B115" t="s">
        <v>331</v>
      </c>
      <c r="C115" t="s">
        <v>332</v>
      </c>
      <c r="D115" t="s">
        <v>21</v>
      </c>
      <c r="E115">
        <v>52.7667</v>
      </c>
      <c r="F115">
        <v>23.2</v>
      </c>
      <c r="G115" t="s">
        <v>22</v>
      </c>
      <c r="H115" t="s">
        <v>79</v>
      </c>
      <c r="I115" t="s">
        <v>333</v>
      </c>
      <c r="J115" t="s">
        <v>25</v>
      </c>
      <c r="K115">
        <v>6</v>
      </c>
      <c r="L115">
        <v>767</v>
      </c>
      <c r="M115">
        <v>4602</v>
      </c>
      <c r="N115">
        <v>4602</v>
      </c>
      <c r="O115">
        <v>0</v>
      </c>
      <c r="P115" t="s">
        <v>26</v>
      </c>
      <c r="Q115">
        <v>2018</v>
      </c>
      <c r="R115" t="s">
        <v>52</v>
      </c>
      <c r="S115" t="s">
        <v>28</v>
      </c>
      <c r="T115" t="s">
        <v>29</v>
      </c>
    </row>
    <row r="116" spans="1:20" x14ac:dyDescent="0.35">
      <c r="A116" t="s">
        <v>18</v>
      </c>
      <c r="B116" t="s">
        <v>334</v>
      </c>
      <c r="C116" t="s">
        <v>335</v>
      </c>
      <c r="D116" t="s">
        <v>21</v>
      </c>
      <c r="E116">
        <v>54.166699999999999</v>
      </c>
      <c r="F116">
        <v>17.5</v>
      </c>
      <c r="G116" t="s">
        <v>22</v>
      </c>
      <c r="H116" t="s">
        <v>23</v>
      </c>
      <c r="I116" t="s">
        <v>336</v>
      </c>
      <c r="J116" t="s">
        <v>35</v>
      </c>
      <c r="K116">
        <v>6</v>
      </c>
      <c r="L116">
        <v>452</v>
      </c>
      <c r="M116">
        <v>2712</v>
      </c>
      <c r="N116">
        <v>2712</v>
      </c>
      <c r="O116">
        <v>0</v>
      </c>
      <c r="P116" t="s">
        <v>51</v>
      </c>
      <c r="Q116">
        <v>2018</v>
      </c>
      <c r="R116" t="s">
        <v>105</v>
      </c>
      <c r="S116" t="s">
        <v>71</v>
      </c>
      <c r="T116" t="s">
        <v>72</v>
      </c>
    </row>
    <row r="117" spans="1:20" x14ac:dyDescent="0.35">
      <c r="A117" t="s">
        <v>18</v>
      </c>
      <c r="B117" t="s">
        <v>337</v>
      </c>
      <c r="C117" t="s">
        <v>338</v>
      </c>
      <c r="D117" t="s">
        <v>21</v>
      </c>
      <c r="E117">
        <v>51.152799999999999</v>
      </c>
      <c r="F117">
        <v>15</v>
      </c>
      <c r="G117" t="s">
        <v>32</v>
      </c>
      <c r="H117" t="s">
        <v>39</v>
      </c>
      <c r="I117" t="s">
        <v>200</v>
      </c>
      <c r="J117" t="s">
        <v>134</v>
      </c>
      <c r="K117">
        <v>12</v>
      </c>
      <c r="L117">
        <v>75</v>
      </c>
      <c r="M117">
        <v>900</v>
      </c>
      <c r="N117">
        <v>900</v>
      </c>
      <c r="O117">
        <v>0</v>
      </c>
      <c r="P117" t="s">
        <v>51</v>
      </c>
      <c r="Q117">
        <v>2018</v>
      </c>
      <c r="R117" t="s">
        <v>63</v>
      </c>
      <c r="S117" t="s">
        <v>28</v>
      </c>
      <c r="T117" t="s">
        <v>29</v>
      </c>
    </row>
    <row r="118" spans="1:20" x14ac:dyDescent="0.35">
      <c r="A118" t="s">
        <v>18</v>
      </c>
      <c r="B118" t="s">
        <v>272</v>
      </c>
      <c r="C118" t="s">
        <v>273</v>
      </c>
      <c r="D118" t="s">
        <v>21</v>
      </c>
      <c r="E118">
        <v>51.4</v>
      </c>
      <c r="F118">
        <v>19.683299999999999</v>
      </c>
      <c r="G118" t="s">
        <v>22</v>
      </c>
      <c r="H118" t="s">
        <v>23</v>
      </c>
      <c r="I118" t="s">
        <v>339</v>
      </c>
      <c r="J118" t="s">
        <v>47</v>
      </c>
      <c r="K118">
        <v>5</v>
      </c>
      <c r="L118">
        <v>613</v>
      </c>
      <c r="M118">
        <v>3065</v>
      </c>
      <c r="N118">
        <v>3065</v>
      </c>
      <c r="O118">
        <v>0</v>
      </c>
      <c r="P118" t="s">
        <v>26</v>
      </c>
      <c r="Q118">
        <v>2018</v>
      </c>
      <c r="R118" t="s">
        <v>41</v>
      </c>
      <c r="S118" t="s">
        <v>42</v>
      </c>
      <c r="T118" t="s">
        <v>43</v>
      </c>
    </row>
    <row r="119" spans="1:20" x14ac:dyDescent="0.35">
      <c r="A119" t="s">
        <v>18</v>
      </c>
      <c r="B119" t="s">
        <v>340</v>
      </c>
      <c r="C119" t="s">
        <v>341</v>
      </c>
      <c r="D119" t="s">
        <v>21</v>
      </c>
      <c r="E119">
        <v>51.030799999999999</v>
      </c>
      <c r="F119">
        <v>15.420199999999999</v>
      </c>
      <c r="G119" t="s">
        <v>22</v>
      </c>
      <c r="H119" t="s">
        <v>23</v>
      </c>
      <c r="I119" t="s">
        <v>342</v>
      </c>
      <c r="J119" t="s">
        <v>25</v>
      </c>
      <c r="K119">
        <v>20</v>
      </c>
      <c r="L119">
        <v>311</v>
      </c>
      <c r="M119">
        <v>6220</v>
      </c>
      <c r="N119">
        <v>6220</v>
      </c>
      <c r="O119">
        <v>0</v>
      </c>
      <c r="P119" t="s">
        <v>343</v>
      </c>
      <c r="Q119">
        <v>2018</v>
      </c>
      <c r="R119" t="s">
        <v>82</v>
      </c>
      <c r="S119" t="s">
        <v>58</v>
      </c>
      <c r="T119" t="s">
        <v>59</v>
      </c>
    </row>
    <row r="120" spans="1:20" x14ac:dyDescent="0.35">
      <c r="A120" t="s">
        <v>18</v>
      </c>
      <c r="B120" t="s">
        <v>160</v>
      </c>
      <c r="C120" t="s">
        <v>161</v>
      </c>
      <c r="D120" t="s">
        <v>21</v>
      </c>
      <c r="E120">
        <v>53.2667</v>
      </c>
      <c r="F120">
        <v>16.466699999999999</v>
      </c>
      <c r="G120" t="s">
        <v>22</v>
      </c>
      <c r="H120" t="s">
        <v>79</v>
      </c>
      <c r="I120" t="s">
        <v>344</v>
      </c>
      <c r="J120" t="s">
        <v>35</v>
      </c>
      <c r="K120">
        <v>5</v>
      </c>
      <c r="L120">
        <v>611</v>
      </c>
      <c r="M120">
        <v>3055</v>
      </c>
      <c r="N120">
        <v>3055</v>
      </c>
      <c r="O120">
        <v>0</v>
      </c>
      <c r="P120" t="s">
        <v>26</v>
      </c>
      <c r="Q120">
        <v>2018</v>
      </c>
      <c r="R120" t="s">
        <v>87</v>
      </c>
      <c r="S120" t="s">
        <v>42</v>
      </c>
      <c r="T120" t="s">
        <v>43</v>
      </c>
    </row>
    <row r="121" spans="1:20" x14ac:dyDescent="0.35">
      <c r="A121" t="s">
        <v>18</v>
      </c>
      <c r="B121" t="s">
        <v>195</v>
      </c>
      <c r="C121" t="s">
        <v>196</v>
      </c>
      <c r="D121" t="s">
        <v>21</v>
      </c>
      <c r="E121">
        <v>53.4925</v>
      </c>
      <c r="F121">
        <v>18.7761</v>
      </c>
      <c r="G121" t="s">
        <v>32</v>
      </c>
      <c r="H121" t="s">
        <v>33</v>
      </c>
      <c r="I121" t="s">
        <v>345</v>
      </c>
      <c r="J121" t="s">
        <v>35</v>
      </c>
      <c r="K121">
        <v>13</v>
      </c>
      <c r="L121">
        <v>773</v>
      </c>
      <c r="M121">
        <v>10049</v>
      </c>
      <c r="N121">
        <v>10049</v>
      </c>
      <c r="O121">
        <v>0</v>
      </c>
      <c r="P121" t="s">
        <v>26</v>
      </c>
      <c r="Q121">
        <v>2018</v>
      </c>
      <c r="R121" t="s">
        <v>41</v>
      </c>
      <c r="S121" t="s">
        <v>42</v>
      </c>
      <c r="T121" t="s">
        <v>43</v>
      </c>
    </row>
    <row r="122" spans="1:20" x14ac:dyDescent="0.35">
      <c r="A122" t="s">
        <v>18</v>
      </c>
      <c r="B122" t="s">
        <v>280</v>
      </c>
      <c r="C122" t="s">
        <v>281</v>
      </c>
      <c r="D122" t="s">
        <v>21</v>
      </c>
      <c r="E122">
        <v>52.253100000000003</v>
      </c>
      <c r="F122">
        <v>15.9178</v>
      </c>
      <c r="G122" t="s">
        <v>22</v>
      </c>
      <c r="H122" t="s">
        <v>23</v>
      </c>
      <c r="I122" t="s">
        <v>66</v>
      </c>
      <c r="J122" t="s">
        <v>25</v>
      </c>
      <c r="K122">
        <v>20</v>
      </c>
      <c r="L122">
        <v>742</v>
      </c>
      <c r="M122">
        <v>14840</v>
      </c>
      <c r="N122">
        <v>14840</v>
      </c>
      <c r="O122">
        <v>0</v>
      </c>
      <c r="P122" t="s">
        <v>26</v>
      </c>
      <c r="Q122">
        <v>2018</v>
      </c>
      <c r="R122" t="s">
        <v>41</v>
      </c>
      <c r="S122" t="s">
        <v>42</v>
      </c>
      <c r="T122" t="s">
        <v>43</v>
      </c>
    </row>
    <row r="123" spans="1:20" x14ac:dyDescent="0.35">
      <c r="A123" t="s">
        <v>18</v>
      </c>
      <c r="B123" t="s">
        <v>275</v>
      </c>
      <c r="C123" t="s">
        <v>276</v>
      </c>
      <c r="D123" t="s">
        <v>21</v>
      </c>
      <c r="E123">
        <v>50.672199999999997</v>
      </c>
      <c r="F123">
        <v>17.9253</v>
      </c>
      <c r="G123" t="s">
        <v>32</v>
      </c>
      <c r="H123" t="s">
        <v>33</v>
      </c>
      <c r="I123" t="s">
        <v>151</v>
      </c>
      <c r="J123" t="s">
        <v>134</v>
      </c>
      <c r="K123">
        <v>7</v>
      </c>
      <c r="L123">
        <v>164</v>
      </c>
      <c r="M123">
        <v>1148</v>
      </c>
      <c r="N123">
        <v>1148</v>
      </c>
      <c r="O123">
        <v>0</v>
      </c>
      <c r="P123" t="s">
        <v>26</v>
      </c>
      <c r="Q123">
        <v>2018</v>
      </c>
      <c r="R123" t="s">
        <v>76</v>
      </c>
      <c r="S123" t="s">
        <v>42</v>
      </c>
      <c r="T123" t="s">
        <v>43</v>
      </c>
    </row>
    <row r="124" spans="1:20" x14ac:dyDescent="0.35">
      <c r="A124" t="s">
        <v>18</v>
      </c>
      <c r="B124" t="s">
        <v>337</v>
      </c>
      <c r="C124" t="s">
        <v>338</v>
      </c>
      <c r="D124" t="s">
        <v>21</v>
      </c>
      <c r="E124">
        <v>51.152799999999999</v>
      </c>
      <c r="F124">
        <v>15</v>
      </c>
      <c r="G124" t="s">
        <v>32</v>
      </c>
      <c r="H124" t="s">
        <v>39</v>
      </c>
      <c r="I124" t="s">
        <v>101</v>
      </c>
      <c r="J124" t="s">
        <v>47</v>
      </c>
      <c r="K124">
        <v>5</v>
      </c>
      <c r="L124">
        <v>605</v>
      </c>
      <c r="M124">
        <v>3025</v>
      </c>
      <c r="N124">
        <v>3025</v>
      </c>
      <c r="O124">
        <v>0</v>
      </c>
      <c r="P124" t="s">
        <v>343</v>
      </c>
      <c r="Q124">
        <v>2018</v>
      </c>
      <c r="R124" t="s">
        <v>119</v>
      </c>
      <c r="S124" t="s">
        <v>71</v>
      </c>
      <c r="T124" t="s">
        <v>72</v>
      </c>
    </row>
    <row r="125" spans="1:20" x14ac:dyDescent="0.35">
      <c r="A125" t="s">
        <v>18</v>
      </c>
      <c r="B125" t="s">
        <v>19</v>
      </c>
      <c r="C125" t="s">
        <v>20</v>
      </c>
      <c r="D125" t="s">
        <v>21</v>
      </c>
      <c r="E125">
        <v>51.2333</v>
      </c>
      <c r="F125">
        <v>22.566700000000001</v>
      </c>
      <c r="G125" t="s">
        <v>22</v>
      </c>
      <c r="H125" t="s">
        <v>23</v>
      </c>
      <c r="I125" t="s">
        <v>236</v>
      </c>
      <c r="J125" t="s">
        <v>86</v>
      </c>
      <c r="K125">
        <v>30</v>
      </c>
      <c r="L125">
        <v>26</v>
      </c>
      <c r="M125">
        <v>780</v>
      </c>
      <c r="N125">
        <v>780</v>
      </c>
      <c r="O125">
        <v>0</v>
      </c>
      <c r="P125" t="s">
        <v>26</v>
      </c>
      <c r="Q125">
        <v>2018</v>
      </c>
      <c r="R125" t="s">
        <v>82</v>
      </c>
      <c r="S125" t="s">
        <v>58</v>
      </c>
      <c r="T125" t="s">
        <v>59</v>
      </c>
    </row>
    <row r="126" spans="1:20" x14ac:dyDescent="0.35">
      <c r="A126" t="s">
        <v>18</v>
      </c>
      <c r="B126" t="s">
        <v>163</v>
      </c>
      <c r="C126" t="s">
        <v>164</v>
      </c>
      <c r="D126" t="s">
        <v>21</v>
      </c>
      <c r="E126">
        <v>49.882100000000001</v>
      </c>
      <c r="F126">
        <v>19.223299999999998</v>
      </c>
      <c r="G126" t="s">
        <v>32</v>
      </c>
      <c r="H126" t="s">
        <v>39</v>
      </c>
      <c r="I126" t="s">
        <v>346</v>
      </c>
      <c r="J126" t="s">
        <v>47</v>
      </c>
      <c r="K126">
        <v>56</v>
      </c>
      <c r="L126">
        <v>529</v>
      </c>
      <c r="M126">
        <v>29624</v>
      </c>
      <c r="N126">
        <v>29624</v>
      </c>
      <c r="O126">
        <v>0</v>
      </c>
      <c r="P126" t="s">
        <v>185</v>
      </c>
      <c r="Q126">
        <v>2018</v>
      </c>
      <c r="R126" t="s">
        <v>63</v>
      </c>
      <c r="S126" t="s">
        <v>28</v>
      </c>
      <c r="T126" t="s">
        <v>29</v>
      </c>
    </row>
    <row r="127" spans="1:20" x14ac:dyDescent="0.35">
      <c r="A127" t="s">
        <v>18</v>
      </c>
      <c r="B127" t="s">
        <v>347</v>
      </c>
      <c r="C127" t="s">
        <v>348</v>
      </c>
      <c r="D127" t="s">
        <v>264</v>
      </c>
      <c r="E127">
        <v>52.65</v>
      </c>
      <c r="F127">
        <v>19.05</v>
      </c>
      <c r="G127" t="s">
        <v>22</v>
      </c>
      <c r="H127" t="s">
        <v>23</v>
      </c>
      <c r="I127" t="s">
        <v>349</v>
      </c>
      <c r="J127" t="s">
        <v>35</v>
      </c>
      <c r="K127">
        <v>1</v>
      </c>
      <c r="L127">
        <v>401</v>
      </c>
      <c r="M127">
        <v>401</v>
      </c>
      <c r="N127">
        <v>401</v>
      </c>
      <c r="O127">
        <v>0</v>
      </c>
      <c r="P127" t="s">
        <v>26</v>
      </c>
      <c r="Q127">
        <v>2018</v>
      </c>
      <c r="R127" t="s">
        <v>70</v>
      </c>
      <c r="S127" t="s">
        <v>71</v>
      </c>
      <c r="T127" t="s">
        <v>72</v>
      </c>
    </row>
    <row r="128" spans="1:20" x14ac:dyDescent="0.35">
      <c r="A128" t="s">
        <v>18</v>
      </c>
      <c r="B128" t="s">
        <v>146</v>
      </c>
      <c r="C128" t="s">
        <v>147</v>
      </c>
      <c r="D128" t="s">
        <v>21</v>
      </c>
      <c r="E128">
        <v>50.475099999999998</v>
      </c>
      <c r="F128">
        <v>17.965399999999999</v>
      </c>
      <c r="G128" t="s">
        <v>32</v>
      </c>
      <c r="H128" t="s">
        <v>39</v>
      </c>
      <c r="I128" t="s">
        <v>125</v>
      </c>
      <c r="J128" t="s">
        <v>35</v>
      </c>
      <c r="K128">
        <v>2</v>
      </c>
      <c r="L128">
        <v>215</v>
      </c>
      <c r="M128">
        <v>430</v>
      </c>
      <c r="N128">
        <v>430</v>
      </c>
      <c r="O128">
        <v>0</v>
      </c>
      <c r="P128" t="s">
        <v>350</v>
      </c>
      <c r="Q128">
        <v>2018</v>
      </c>
      <c r="R128" t="s">
        <v>76</v>
      </c>
      <c r="S128" t="s">
        <v>42</v>
      </c>
      <c r="T128" t="s">
        <v>43</v>
      </c>
    </row>
    <row r="129" spans="1:20" x14ac:dyDescent="0.35">
      <c r="A129" t="s">
        <v>18</v>
      </c>
      <c r="B129" t="s">
        <v>351</v>
      </c>
      <c r="C129" t="s">
        <v>352</v>
      </c>
      <c r="D129" t="s">
        <v>21</v>
      </c>
      <c r="E129">
        <v>51.3</v>
      </c>
      <c r="F129">
        <v>22.883299999999998</v>
      </c>
      <c r="G129" t="s">
        <v>32</v>
      </c>
      <c r="H129" t="s">
        <v>39</v>
      </c>
      <c r="I129" t="s">
        <v>111</v>
      </c>
      <c r="J129" t="s">
        <v>47</v>
      </c>
      <c r="K129">
        <v>5</v>
      </c>
      <c r="L129">
        <v>414</v>
      </c>
      <c r="M129">
        <v>2070</v>
      </c>
      <c r="N129">
        <v>2070</v>
      </c>
      <c r="O129">
        <v>0</v>
      </c>
      <c r="P129" t="s">
        <v>26</v>
      </c>
      <c r="Q129">
        <v>2018</v>
      </c>
      <c r="R129" t="s">
        <v>70</v>
      </c>
      <c r="S129" t="s">
        <v>71</v>
      </c>
      <c r="T129" t="s">
        <v>72</v>
      </c>
    </row>
    <row r="130" spans="1:20" x14ac:dyDescent="0.35">
      <c r="A130" t="s">
        <v>18</v>
      </c>
      <c r="B130" t="s">
        <v>353</v>
      </c>
      <c r="C130" t="s">
        <v>354</v>
      </c>
      <c r="D130" t="s">
        <v>21</v>
      </c>
      <c r="E130">
        <v>50.033900000000003</v>
      </c>
      <c r="F130">
        <v>20.217199999999998</v>
      </c>
      <c r="G130" t="s">
        <v>22</v>
      </c>
      <c r="H130" t="s">
        <v>23</v>
      </c>
      <c r="I130" t="s">
        <v>355</v>
      </c>
      <c r="J130" t="s">
        <v>47</v>
      </c>
      <c r="K130">
        <v>1</v>
      </c>
      <c r="L130">
        <v>173</v>
      </c>
      <c r="M130">
        <v>173</v>
      </c>
      <c r="N130">
        <v>173</v>
      </c>
      <c r="O130">
        <v>0</v>
      </c>
      <c r="P130" t="s">
        <v>343</v>
      </c>
      <c r="Q130">
        <v>2018</v>
      </c>
      <c r="R130" t="s">
        <v>115</v>
      </c>
      <c r="S130" t="s">
        <v>58</v>
      </c>
      <c r="T130" t="s">
        <v>59</v>
      </c>
    </row>
    <row r="131" spans="1:20" x14ac:dyDescent="0.35">
      <c r="A131" t="s">
        <v>18</v>
      </c>
      <c r="B131" t="s">
        <v>356</v>
      </c>
      <c r="C131" t="s">
        <v>357</v>
      </c>
      <c r="D131" t="s">
        <v>264</v>
      </c>
      <c r="E131">
        <v>50.9833</v>
      </c>
      <c r="F131">
        <v>18.216699999999999</v>
      </c>
      <c r="G131" t="s">
        <v>22</v>
      </c>
      <c r="H131" t="s">
        <v>79</v>
      </c>
      <c r="I131" t="s">
        <v>66</v>
      </c>
      <c r="J131" t="s">
        <v>25</v>
      </c>
      <c r="K131">
        <v>30</v>
      </c>
      <c r="L131">
        <v>742</v>
      </c>
      <c r="M131">
        <v>22260</v>
      </c>
      <c r="N131">
        <v>22260</v>
      </c>
      <c r="O131">
        <v>0</v>
      </c>
      <c r="P131" t="s">
        <v>26</v>
      </c>
      <c r="Q131">
        <v>2018</v>
      </c>
      <c r="R131" t="s">
        <v>57</v>
      </c>
      <c r="S131" t="s">
        <v>58</v>
      </c>
      <c r="T131" t="s">
        <v>59</v>
      </c>
    </row>
    <row r="132" spans="1:20" x14ac:dyDescent="0.35">
      <c r="A132" t="s">
        <v>18</v>
      </c>
      <c r="B132" t="s">
        <v>358</v>
      </c>
      <c r="C132" t="s">
        <v>359</v>
      </c>
      <c r="D132" t="s">
        <v>21</v>
      </c>
      <c r="E132">
        <v>51.05</v>
      </c>
      <c r="F132">
        <v>16.183299999999999</v>
      </c>
      <c r="G132" t="s">
        <v>22</v>
      </c>
      <c r="H132" t="s">
        <v>23</v>
      </c>
      <c r="I132" t="s">
        <v>122</v>
      </c>
      <c r="J132" t="s">
        <v>86</v>
      </c>
      <c r="K132">
        <v>1</v>
      </c>
      <c r="L132">
        <v>765</v>
      </c>
      <c r="M132">
        <v>765</v>
      </c>
      <c r="N132">
        <v>765</v>
      </c>
      <c r="O132">
        <v>0</v>
      </c>
      <c r="P132" t="s">
        <v>51</v>
      </c>
      <c r="Q132">
        <v>2018</v>
      </c>
      <c r="R132" t="s">
        <v>27</v>
      </c>
      <c r="S132" t="s">
        <v>28</v>
      </c>
      <c r="T132" t="s">
        <v>29</v>
      </c>
    </row>
    <row r="133" spans="1:20" x14ac:dyDescent="0.35">
      <c r="A133" t="s">
        <v>18</v>
      </c>
      <c r="B133" t="s">
        <v>360</v>
      </c>
      <c r="C133" t="s">
        <v>361</v>
      </c>
      <c r="D133" t="s">
        <v>21</v>
      </c>
      <c r="E133">
        <v>52.083300000000001</v>
      </c>
      <c r="F133">
        <v>16.649999999999999</v>
      </c>
      <c r="G133" t="s">
        <v>22</v>
      </c>
      <c r="H133" t="s">
        <v>23</v>
      </c>
      <c r="I133" t="s">
        <v>257</v>
      </c>
      <c r="J133" t="s">
        <v>95</v>
      </c>
      <c r="K133">
        <v>4</v>
      </c>
      <c r="L133">
        <v>628</v>
      </c>
      <c r="M133">
        <v>2512</v>
      </c>
      <c r="N133">
        <v>2512</v>
      </c>
      <c r="O133">
        <v>0</v>
      </c>
      <c r="P133" t="s">
        <v>26</v>
      </c>
      <c r="Q133">
        <v>2018</v>
      </c>
      <c r="R133" t="s">
        <v>76</v>
      </c>
      <c r="S133" t="s">
        <v>42</v>
      </c>
      <c r="T133" t="s">
        <v>43</v>
      </c>
    </row>
    <row r="134" spans="1:20" x14ac:dyDescent="0.35">
      <c r="A134" t="s">
        <v>18</v>
      </c>
      <c r="B134" t="s">
        <v>362</v>
      </c>
      <c r="C134" t="s">
        <v>363</v>
      </c>
      <c r="D134" t="s">
        <v>21</v>
      </c>
      <c r="E134">
        <v>50.872500000000002</v>
      </c>
      <c r="F134">
        <v>20.631900000000002</v>
      </c>
      <c r="G134" t="s">
        <v>32</v>
      </c>
      <c r="H134" t="s">
        <v>39</v>
      </c>
      <c r="I134" t="s">
        <v>364</v>
      </c>
      <c r="J134" t="s">
        <v>134</v>
      </c>
      <c r="K134">
        <v>4</v>
      </c>
      <c r="L134">
        <v>248</v>
      </c>
      <c r="M134">
        <v>992</v>
      </c>
      <c r="N134">
        <v>992</v>
      </c>
      <c r="O134">
        <v>0</v>
      </c>
      <c r="P134" t="s">
        <v>26</v>
      </c>
      <c r="Q134">
        <v>2018</v>
      </c>
      <c r="R134" t="s">
        <v>52</v>
      </c>
      <c r="S134" t="s">
        <v>28</v>
      </c>
      <c r="T134" t="s">
        <v>29</v>
      </c>
    </row>
    <row r="135" spans="1:20" x14ac:dyDescent="0.35">
      <c r="A135" t="s">
        <v>18</v>
      </c>
      <c r="B135" t="s">
        <v>365</v>
      </c>
      <c r="C135" t="s">
        <v>366</v>
      </c>
      <c r="D135" t="s">
        <v>21</v>
      </c>
      <c r="E135">
        <v>49.5625</v>
      </c>
      <c r="F135">
        <v>20.636399999999998</v>
      </c>
      <c r="G135" t="s">
        <v>22</v>
      </c>
      <c r="H135" t="s">
        <v>23</v>
      </c>
      <c r="I135" t="s">
        <v>367</v>
      </c>
      <c r="J135" t="s">
        <v>134</v>
      </c>
      <c r="K135">
        <v>10</v>
      </c>
      <c r="L135">
        <v>187</v>
      </c>
      <c r="M135">
        <v>1870</v>
      </c>
      <c r="N135">
        <v>1870</v>
      </c>
      <c r="O135">
        <v>0</v>
      </c>
      <c r="P135" t="s">
        <v>26</v>
      </c>
      <c r="Q135">
        <v>2018</v>
      </c>
      <c r="R135" t="s">
        <v>36</v>
      </c>
      <c r="S135" t="s">
        <v>28</v>
      </c>
      <c r="T135" t="s">
        <v>29</v>
      </c>
    </row>
    <row r="136" spans="1:20" x14ac:dyDescent="0.35">
      <c r="A136" t="s">
        <v>18</v>
      </c>
      <c r="B136" t="s">
        <v>266</v>
      </c>
      <c r="C136" t="s">
        <v>267</v>
      </c>
      <c r="D136" t="s">
        <v>21</v>
      </c>
      <c r="E136">
        <v>50.323900000000002</v>
      </c>
      <c r="F136">
        <v>19.194700000000001</v>
      </c>
      <c r="G136" t="s">
        <v>22</v>
      </c>
      <c r="H136" t="s">
        <v>79</v>
      </c>
      <c r="I136" t="s">
        <v>98</v>
      </c>
      <c r="J136" t="s">
        <v>95</v>
      </c>
      <c r="K136">
        <v>6</v>
      </c>
      <c r="L136">
        <v>487</v>
      </c>
      <c r="M136">
        <v>2922</v>
      </c>
      <c r="N136">
        <v>2922</v>
      </c>
      <c r="O136">
        <v>0</v>
      </c>
      <c r="P136" t="s">
        <v>26</v>
      </c>
      <c r="Q136">
        <v>2018</v>
      </c>
      <c r="R136" t="s">
        <v>52</v>
      </c>
      <c r="S136" t="s">
        <v>28</v>
      </c>
      <c r="T136" t="s">
        <v>29</v>
      </c>
    </row>
    <row r="137" spans="1:20" x14ac:dyDescent="0.35">
      <c r="A137" t="s">
        <v>18</v>
      </c>
      <c r="B137" t="s">
        <v>300</v>
      </c>
      <c r="C137" t="s">
        <v>301</v>
      </c>
      <c r="D137" t="s">
        <v>21</v>
      </c>
      <c r="E137">
        <v>53.816699999999997</v>
      </c>
      <c r="F137">
        <v>22.35</v>
      </c>
      <c r="G137" t="s">
        <v>32</v>
      </c>
      <c r="H137" t="s">
        <v>33</v>
      </c>
      <c r="I137" t="s">
        <v>257</v>
      </c>
      <c r="J137" t="s">
        <v>95</v>
      </c>
      <c r="K137">
        <v>4</v>
      </c>
      <c r="L137">
        <v>628</v>
      </c>
      <c r="M137">
        <v>2512</v>
      </c>
      <c r="N137">
        <v>2512</v>
      </c>
      <c r="O137">
        <v>0</v>
      </c>
      <c r="P137" t="s">
        <v>26</v>
      </c>
      <c r="Q137">
        <v>2018</v>
      </c>
      <c r="R137" t="s">
        <v>70</v>
      </c>
      <c r="S137" t="s">
        <v>71</v>
      </c>
      <c r="T137" t="s">
        <v>72</v>
      </c>
    </row>
    <row r="138" spans="1:20" x14ac:dyDescent="0.35">
      <c r="A138" t="s">
        <v>18</v>
      </c>
      <c r="B138" t="s">
        <v>325</v>
      </c>
      <c r="C138" t="s">
        <v>326</v>
      </c>
      <c r="D138" t="s">
        <v>21</v>
      </c>
      <c r="E138">
        <v>51.107700000000001</v>
      </c>
      <c r="F138">
        <v>17.035299999999999</v>
      </c>
      <c r="G138" t="s">
        <v>22</v>
      </c>
      <c r="H138" t="s">
        <v>23</v>
      </c>
      <c r="I138" t="s">
        <v>368</v>
      </c>
      <c r="J138" t="s">
        <v>86</v>
      </c>
      <c r="K138">
        <v>15</v>
      </c>
      <c r="L138">
        <v>647</v>
      </c>
      <c r="M138">
        <v>9705</v>
      </c>
      <c r="N138">
        <v>9705</v>
      </c>
      <c r="O138">
        <v>0</v>
      </c>
      <c r="P138" t="s">
        <v>185</v>
      </c>
      <c r="Q138">
        <v>2018</v>
      </c>
      <c r="R138" t="s">
        <v>57</v>
      </c>
      <c r="S138" t="s">
        <v>58</v>
      </c>
      <c r="T138" t="s">
        <v>59</v>
      </c>
    </row>
    <row r="139" spans="1:20" x14ac:dyDescent="0.35">
      <c r="A139" t="s">
        <v>18</v>
      </c>
      <c r="B139" t="s">
        <v>369</v>
      </c>
      <c r="C139" t="s">
        <v>370</v>
      </c>
      <c r="D139" t="s">
        <v>21</v>
      </c>
      <c r="E139">
        <v>51.8</v>
      </c>
      <c r="F139">
        <v>15.716699999999999</v>
      </c>
      <c r="G139" t="s">
        <v>32</v>
      </c>
      <c r="H139" t="s">
        <v>39</v>
      </c>
      <c r="I139" t="s">
        <v>371</v>
      </c>
      <c r="J139" t="s">
        <v>86</v>
      </c>
      <c r="K139">
        <v>3</v>
      </c>
      <c r="L139">
        <v>681</v>
      </c>
      <c r="M139">
        <v>2043</v>
      </c>
      <c r="N139">
        <v>2043</v>
      </c>
      <c r="O139">
        <v>0</v>
      </c>
      <c r="P139" t="s">
        <v>26</v>
      </c>
      <c r="Q139">
        <v>2018</v>
      </c>
      <c r="R139" t="s">
        <v>57</v>
      </c>
      <c r="S139" t="s">
        <v>58</v>
      </c>
      <c r="T139" t="s">
        <v>59</v>
      </c>
    </row>
    <row r="140" spans="1:20" x14ac:dyDescent="0.35">
      <c r="A140" t="s">
        <v>18</v>
      </c>
      <c r="B140" t="s">
        <v>372</v>
      </c>
      <c r="C140" t="s">
        <v>373</v>
      </c>
      <c r="D140" t="s">
        <v>21</v>
      </c>
      <c r="E140">
        <v>53.083300000000001</v>
      </c>
      <c r="F140">
        <v>21.566700000000001</v>
      </c>
      <c r="G140" t="s">
        <v>22</v>
      </c>
      <c r="H140" t="s">
        <v>23</v>
      </c>
      <c r="I140" t="s">
        <v>85</v>
      </c>
      <c r="J140" t="s">
        <v>86</v>
      </c>
      <c r="K140">
        <v>20</v>
      </c>
      <c r="L140">
        <v>249</v>
      </c>
      <c r="M140">
        <v>4980</v>
      </c>
      <c r="N140">
        <v>4980</v>
      </c>
      <c r="O140">
        <v>0</v>
      </c>
      <c r="P140" t="s">
        <v>26</v>
      </c>
      <c r="Q140">
        <v>2018</v>
      </c>
      <c r="R140" t="s">
        <v>87</v>
      </c>
      <c r="S140" t="s">
        <v>42</v>
      </c>
      <c r="T140" t="s">
        <v>43</v>
      </c>
    </row>
    <row r="141" spans="1:20" x14ac:dyDescent="0.35">
      <c r="A141" t="s">
        <v>18</v>
      </c>
      <c r="B141" t="s">
        <v>286</v>
      </c>
      <c r="C141" t="s">
        <v>287</v>
      </c>
      <c r="D141" t="s">
        <v>21</v>
      </c>
      <c r="E141">
        <v>50.297600000000003</v>
      </c>
      <c r="F141">
        <v>18.676600000000001</v>
      </c>
      <c r="G141" t="s">
        <v>32</v>
      </c>
      <c r="H141" t="s">
        <v>33</v>
      </c>
      <c r="I141" t="s">
        <v>374</v>
      </c>
      <c r="J141" t="s">
        <v>86</v>
      </c>
      <c r="K141">
        <v>10</v>
      </c>
      <c r="L141">
        <v>535</v>
      </c>
      <c r="M141">
        <v>5350</v>
      </c>
      <c r="N141">
        <v>5350</v>
      </c>
      <c r="O141">
        <v>0</v>
      </c>
      <c r="P141" t="s">
        <v>26</v>
      </c>
      <c r="Q141">
        <v>2018</v>
      </c>
      <c r="R141" t="s">
        <v>82</v>
      </c>
      <c r="S141" t="s">
        <v>58</v>
      </c>
      <c r="T141" t="s">
        <v>59</v>
      </c>
    </row>
    <row r="142" spans="1:20" x14ac:dyDescent="0.35">
      <c r="A142" t="s">
        <v>18</v>
      </c>
      <c r="B142" t="s">
        <v>328</v>
      </c>
      <c r="C142" t="s">
        <v>329</v>
      </c>
      <c r="D142" t="s">
        <v>21</v>
      </c>
      <c r="E142">
        <v>51</v>
      </c>
      <c r="F142">
        <v>16.333300000000001</v>
      </c>
      <c r="G142" t="s">
        <v>32</v>
      </c>
      <c r="H142" t="s">
        <v>39</v>
      </c>
      <c r="I142" t="s">
        <v>368</v>
      </c>
      <c r="J142" t="s">
        <v>86</v>
      </c>
      <c r="K142">
        <v>30</v>
      </c>
      <c r="L142">
        <v>647</v>
      </c>
      <c r="M142">
        <v>19410</v>
      </c>
      <c r="N142">
        <v>19410</v>
      </c>
      <c r="O142">
        <v>0</v>
      </c>
      <c r="P142" t="s">
        <v>26</v>
      </c>
      <c r="Q142">
        <v>2018</v>
      </c>
      <c r="R142" t="s">
        <v>115</v>
      </c>
      <c r="S142" t="s">
        <v>58</v>
      </c>
      <c r="T142" t="s">
        <v>59</v>
      </c>
    </row>
    <row r="143" spans="1:20" x14ac:dyDescent="0.35">
      <c r="A143" t="s">
        <v>18</v>
      </c>
      <c r="B143" t="s">
        <v>375</v>
      </c>
      <c r="C143" t="s">
        <v>376</v>
      </c>
      <c r="D143" t="s">
        <v>21</v>
      </c>
      <c r="E143">
        <v>49.666699999999999</v>
      </c>
      <c r="F143">
        <v>18.866700000000002</v>
      </c>
      <c r="G143" t="s">
        <v>32</v>
      </c>
      <c r="H143" t="s">
        <v>39</v>
      </c>
      <c r="I143" t="s">
        <v>377</v>
      </c>
      <c r="J143" t="s">
        <v>95</v>
      </c>
      <c r="K143">
        <v>4</v>
      </c>
      <c r="L143">
        <v>141</v>
      </c>
      <c r="M143">
        <v>564</v>
      </c>
      <c r="N143">
        <v>564</v>
      </c>
      <c r="O143">
        <v>0</v>
      </c>
      <c r="P143" t="s">
        <v>26</v>
      </c>
      <c r="Q143">
        <v>2018</v>
      </c>
      <c r="R143" t="s">
        <v>57</v>
      </c>
      <c r="S143" t="s">
        <v>58</v>
      </c>
      <c r="T143" t="s">
        <v>59</v>
      </c>
    </row>
    <row r="144" spans="1:20" x14ac:dyDescent="0.35">
      <c r="A144" t="s">
        <v>18</v>
      </c>
      <c r="B144" t="s">
        <v>201</v>
      </c>
      <c r="C144" t="s">
        <v>202</v>
      </c>
      <c r="D144" t="s">
        <v>21</v>
      </c>
      <c r="E144">
        <v>53.65</v>
      </c>
      <c r="F144">
        <v>17.366700000000002</v>
      </c>
      <c r="G144" t="s">
        <v>32</v>
      </c>
      <c r="H144" t="s">
        <v>33</v>
      </c>
      <c r="I144" t="s">
        <v>137</v>
      </c>
      <c r="J144" t="s">
        <v>86</v>
      </c>
      <c r="K144">
        <v>10</v>
      </c>
      <c r="L144">
        <v>502</v>
      </c>
      <c r="M144">
        <v>5020</v>
      </c>
      <c r="N144">
        <v>5020</v>
      </c>
      <c r="O144">
        <v>0</v>
      </c>
      <c r="P144" t="s">
        <v>26</v>
      </c>
      <c r="Q144">
        <v>2018</v>
      </c>
      <c r="R144" t="s">
        <v>76</v>
      </c>
      <c r="S144" t="s">
        <v>42</v>
      </c>
      <c r="T144" t="s">
        <v>43</v>
      </c>
    </row>
    <row r="145" spans="1:20" x14ac:dyDescent="0.35">
      <c r="A145" t="s">
        <v>18</v>
      </c>
      <c r="B145" t="s">
        <v>141</v>
      </c>
      <c r="C145" t="s">
        <v>142</v>
      </c>
      <c r="D145" t="s">
        <v>21</v>
      </c>
      <c r="E145">
        <v>51.2333</v>
      </c>
      <c r="F145">
        <v>22.7</v>
      </c>
      <c r="G145" t="s">
        <v>32</v>
      </c>
      <c r="H145" t="s">
        <v>39</v>
      </c>
      <c r="I145" t="s">
        <v>333</v>
      </c>
      <c r="J145" t="s">
        <v>25</v>
      </c>
      <c r="K145">
        <v>4</v>
      </c>
      <c r="L145">
        <v>767</v>
      </c>
      <c r="M145">
        <v>3068</v>
      </c>
      <c r="N145">
        <v>3068</v>
      </c>
      <c r="O145">
        <v>0</v>
      </c>
      <c r="P145" t="s">
        <v>26</v>
      </c>
      <c r="Q145">
        <v>2018</v>
      </c>
      <c r="R145" t="s">
        <v>105</v>
      </c>
      <c r="S145" t="s">
        <v>71</v>
      </c>
      <c r="T145" t="s">
        <v>72</v>
      </c>
    </row>
    <row r="146" spans="1:20" x14ac:dyDescent="0.35">
      <c r="A146" t="s">
        <v>18</v>
      </c>
      <c r="B146" t="s">
        <v>37</v>
      </c>
      <c r="C146" t="s">
        <v>38</v>
      </c>
      <c r="D146" t="s">
        <v>21</v>
      </c>
      <c r="E146">
        <v>50.083300000000001</v>
      </c>
      <c r="F146">
        <v>18.5</v>
      </c>
      <c r="G146" t="s">
        <v>32</v>
      </c>
      <c r="H146" t="s">
        <v>39</v>
      </c>
      <c r="I146" t="s">
        <v>378</v>
      </c>
      <c r="J146" t="s">
        <v>25</v>
      </c>
      <c r="K146">
        <v>5</v>
      </c>
      <c r="L146">
        <v>513</v>
      </c>
      <c r="M146">
        <v>2565</v>
      </c>
      <c r="N146">
        <v>2565</v>
      </c>
      <c r="O146">
        <v>0</v>
      </c>
      <c r="P146" t="s">
        <v>26</v>
      </c>
      <c r="Q146">
        <v>2018</v>
      </c>
      <c r="R146" t="s">
        <v>115</v>
      </c>
      <c r="S146" t="s">
        <v>58</v>
      </c>
      <c r="T146" t="s">
        <v>59</v>
      </c>
    </row>
    <row r="147" spans="1:20" x14ac:dyDescent="0.35">
      <c r="A147" t="s">
        <v>18</v>
      </c>
      <c r="B147" t="s">
        <v>379</v>
      </c>
      <c r="C147" t="s">
        <v>380</v>
      </c>
      <c r="D147" t="s">
        <v>21</v>
      </c>
      <c r="E147">
        <v>49.9833</v>
      </c>
      <c r="F147">
        <v>20.433299999999999</v>
      </c>
      <c r="G147" t="s">
        <v>32</v>
      </c>
      <c r="H147" t="s">
        <v>39</v>
      </c>
      <c r="I147" t="s">
        <v>336</v>
      </c>
      <c r="J147" t="s">
        <v>35</v>
      </c>
      <c r="K147">
        <v>3</v>
      </c>
      <c r="L147">
        <v>452</v>
      </c>
      <c r="M147">
        <v>1356</v>
      </c>
      <c r="N147">
        <v>1356</v>
      </c>
      <c r="O147">
        <v>0</v>
      </c>
      <c r="P147" t="s">
        <v>26</v>
      </c>
      <c r="Q147">
        <v>2018</v>
      </c>
      <c r="R147" t="s">
        <v>52</v>
      </c>
      <c r="S147" t="s">
        <v>28</v>
      </c>
      <c r="T147" t="s">
        <v>29</v>
      </c>
    </row>
    <row r="148" spans="1:20" x14ac:dyDescent="0.35">
      <c r="A148" t="s">
        <v>18</v>
      </c>
      <c r="B148" t="s">
        <v>131</v>
      </c>
      <c r="C148" t="s">
        <v>132</v>
      </c>
      <c r="D148" t="s">
        <v>21</v>
      </c>
      <c r="E148">
        <v>51.776899999999998</v>
      </c>
      <c r="F148">
        <v>19.454699999999999</v>
      </c>
      <c r="G148" t="s">
        <v>32</v>
      </c>
      <c r="H148" t="s">
        <v>33</v>
      </c>
      <c r="I148" t="s">
        <v>381</v>
      </c>
      <c r="J148" t="s">
        <v>25</v>
      </c>
      <c r="K148">
        <v>4</v>
      </c>
      <c r="L148">
        <v>361</v>
      </c>
      <c r="M148">
        <v>1444</v>
      </c>
      <c r="N148">
        <v>1444</v>
      </c>
      <c r="O148">
        <v>0</v>
      </c>
      <c r="P148" t="s">
        <v>26</v>
      </c>
      <c r="Q148">
        <v>2018</v>
      </c>
      <c r="R148" t="s">
        <v>87</v>
      </c>
      <c r="S148" t="s">
        <v>42</v>
      </c>
      <c r="T148" t="s">
        <v>43</v>
      </c>
    </row>
    <row r="149" spans="1:20" x14ac:dyDescent="0.35">
      <c r="A149" t="s">
        <v>18</v>
      </c>
      <c r="B149" t="s">
        <v>266</v>
      </c>
      <c r="C149" t="s">
        <v>267</v>
      </c>
      <c r="D149" t="s">
        <v>21</v>
      </c>
      <c r="E149">
        <v>50.323900000000002</v>
      </c>
      <c r="F149">
        <v>19.194700000000001</v>
      </c>
      <c r="G149" t="s">
        <v>22</v>
      </c>
      <c r="H149" t="s">
        <v>79</v>
      </c>
      <c r="I149" t="s">
        <v>274</v>
      </c>
      <c r="J149" t="s">
        <v>95</v>
      </c>
      <c r="K149">
        <v>24</v>
      </c>
      <c r="L149">
        <v>610</v>
      </c>
      <c r="M149">
        <v>14640</v>
      </c>
      <c r="N149">
        <v>14640</v>
      </c>
      <c r="O149">
        <v>0</v>
      </c>
      <c r="P149" t="s">
        <v>382</v>
      </c>
      <c r="Q149">
        <v>2018</v>
      </c>
      <c r="R149" t="s">
        <v>57</v>
      </c>
      <c r="S149" t="s">
        <v>58</v>
      </c>
      <c r="T149" t="s">
        <v>59</v>
      </c>
    </row>
    <row r="150" spans="1:20" x14ac:dyDescent="0.35">
      <c r="A150" t="s">
        <v>18</v>
      </c>
      <c r="B150" t="s">
        <v>379</v>
      </c>
      <c r="C150" t="s">
        <v>380</v>
      </c>
      <c r="D150" t="s">
        <v>21</v>
      </c>
      <c r="E150">
        <v>49.9833</v>
      </c>
      <c r="F150">
        <v>20.433299999999999</v>
      </c>
      <c r="G150" t="s">
        <v>32</v>
      </c>
      <c r="H150" t="s">
        <v>39</v>
      </c>
      <c r="I150" t="s">
        <v>383</v>
      </c>
      <c r="J150" t="s">
        <v>25</v>
      </c>
      <c r="K150">
        <v>4</v>
      </c>
      <c r="L150">
        <v>334</v>
      </c>
      <c r="M150">
        <v>1336</v>
      </c>
      <c r="N150">
        <v>1336</v>
      </c>
      <c r="O150">
        <v>0</v>
      </c>
      <c r="P150" t="s">
        <v>26</v>
      </c>
      <c r="Q150">
        <v>2018</v>
      </c>
      <c r="R150" t="s">
        <v>41</v>
      </c>
      <c r="S150" t="s">
        <v>42</v>
      </c>
      <c r="T150" t="s">
        <v>43</v>
      </c>
    </row>
    <row r="151" spans="1:20" x14ac:dyDescent="0.35">
      <c r="A151" t="s">
        <v>18</v>
      </c>
      <c r="B151" t="s">
        <v>19</v>
      </c>
      <c r="C151" t="s">
        <v>20</v>
      </c>
      <c r="D151" t="s">
        <v>21</v>
      </c>
      <c r="E151">
        <v>51.2333</v>
      </c>
      <c r="F151">
        <v>22.566700000000001</v>
      </c>
      <c r="G151" t="s">
        <v>22</v>
      </c>
      <c r="H151" t="s">
        <v>23</v>
      </c>
      <c r="I151" t="s">
        <v>342</v>
      </c>
      <c r="J151" t="s">
        <v>25</v>
      </c>
      <c r="K151">
        <v>3</v>
      </c>
      <c r="L151">
        <v>311</v>
      </c>
      <c r="M151">
        <v>933</v>
      </c>
      <c r="N151">
        <v>933</v>
      </c>
      <c r="O151">
        <v>0</v>
      </c>
      <c r="P151" t="s">
        <v>26</v>
      </c>
      <c r="Q151">
        <v>2018</v>
      </c>
      <c r="R151" t="s">
        <v>105</v>
      </c>
      <c r="S151" t="s">
        <v>71</v>
      </c>
      <c r="T151" t="s">
        <v>72</v>
      </c>
    </row>
    <row r="152" spans="1:20" x14ac:dyDescent="0.35">
      <c r="A152" t="s">
        <v>18</v>
      </c>
      <c r="B152" t="s">
        <v>160</v>
      </c>
      <c r="C152" t="s">
        <v>161</v>
      </c>
      <c r="D152" t="s">
        <v>21</v>
      </c>
      <c r="E152">
        <v>53.2667</v>
      </c>
      <c r="F152">
        <v>16.466699999999999</v>
      </c>
      <c r="G152" t="s">
        <v>22</v>
      </c>
      <c r="H152" t="s">
        <v>79</v>
      </c>
      <c r="I152" t="s">
        <v>384</v>
      </c>
      <c r="J152" t="s">
        <v>47</v>
      </c>
      <c r="K152">
        <v>6</v>
      </c>
      <c r="L152">
        <v>631</v>
      </c>
      <c r="M152">
        <v>3786</v>
      </c>
      <c r="N152">
        <v>3786</v>
      </c>
      <c r="O152">
        <v>0</v>
      </c>
      <c r="P152" t="s">
        <v>26</v>
      </c>
      <c r="Q152">
        <v>2018</v>
      </c>
      <c r="R152" t="s">
        <v>82</v>
      </c>
      <c r="S152" t="s">
        <v>58</v>
      </c>
      <c r="T152" t="s">
        <v>59</v>
      </c>
    </row>
    <row r="153" spans="1:20" x14ac:dyDescent="0.35">
      <c r="A153" t="s">
        <v>18</v>
      </c>
      <c r="B153" t="s">
        <v>229</v>
      </c>
      <c r="C153" t="s">
        <v>230</v>
      </c>
      <c r="D153" t="s">
        <v>21</v>
      </c>
      <c r="E153">
        <v>54.441899999999997</v>
      </c>
      <c r="F153">
        <v>18.547799999999999</v>
      </c>
      <c r="G153" t="s">
        <v>22</v>
      </c>
      <c r="H153" t="s">
        <v>23</v>
      </c>
      <c r="I153" t="s">
        <v>339</v>
      </c>
      <c r="J153" t="s">
        <v>47</v>
      </c>
      <c r="K153">
        <v>6</v>
      </c>
      <c r="L153">
        <v>613</v>
      </c>
      <c r="M153">
        <v>3678</v>
      </c>
      <c r="N153">
        <v>3678</v>
      </c>
      <c r="O153">
        <v>0</v>
      </c>
      <c r="P153" t="s">
        <v>26</v>
      </c>
      <c r="Q153">
        <v>2018</v>
      </c>
      <c r="R153" t="s">
        <v>119</v>
      </c>
      <c r="S153" t="s">
        <v>71</v>
      </c>
      <c r="T153" t="s">
        <v>72</v>
      </c>
    </row>
    <row r="154" spans="1:20" x14ac:dyDescent="0.35">
      <c r="A154" t="s">
        <v>18</v>
      </c>
      <c r="B154" t="s">
        <v>385</v>
      </c>
      <c r="C154" t="s">
        <v>386</v>
      </c>
      <c r="D154" t="s">
        <v>21</v>
      </c>
      <c r="E154">
        <v>50.033299999999997</v>
      </c>
      <c r="F154">
        <v>19.2333</v>
      </c>
      <c r="G154" t="s">
        <v>22</v>
      </c>
      <c r="H154" t="s">
        <v>79</v>
      </c>
      <c r="I154" t="s">
        <v>299</v>
      </c>
      <c r="J154" t="s">
        <v>25</v>
      </c>
      <c r="K154">
        <v>10</v>
      </c>
      <c r="L154">
        <v>708</v>
      </c>
      <c r="M154">
        <v>7080</v>
      </c>
      <c r="N154">
        <v>7080</v>
      </c>
      <c r="O154">
        <v>0</v>
      </c>
      <c r="P154" t="s">
        <v>26</v>
      </c>
      <c r="Q154">
        <v>2018</v>
      </c>
      <c r="R154" t="s">
        <v>76</v>
      </c>
      <c r="S154" t="s">
        <v>42</v>
      </c>
      <c r="T154" t="s">
        <v>43</v>
      </c>
    </row>
    <row r="155" spans="1:20" x14ac:dyDescent="0.35">
      <c r="A155" t="s">
        <v>18</v>
      </c>
      <c r="B155" t="s">
        <v>234</v>
      </c>
      <c r="C155" t="s">
        <v>235</v>
      </c>
      <c r="D155" t="s">
        <v>21</v>
      </c>
      <c r="E155">
        <v>50.473799999999997</v>
      </c>
      <c r="F155">
        <v>17.334399999999999</v>
      </c>
      <c r="G155" t="s">
        <v>32</v>
      </c>
      <c r="H155" t="s">
        <v>33</v>
      </c>
      <c r="I155" t="s">
        <v>231</v>
      </c>
      <c r="J155" t="s">
        <v>134</v>
      </c>
      <c r="K155">
        <v>6</v>
      </c>
      <c r="L155">
        <v>206</v>
      </c>
      <c r="M155">
        <v>1236</v>
      </c>
      <c r="N155">
        <v>1236</v>
      </c>
      <c r="O155">
        <v>0</v>
      </c>
      <c r="P155" t="s">
        <v>91</v>
      </c>
      <c r="Q155">
        <v>2018</v>
      </c>
      <c r="R155" t="s">
        <v>115</v>
      </c>
      <c r="S155" t="s">
        <v>58</v>
      </c>
      <c r="T155" t="s">
        <v>59</v>
      </c>
    </row>
    <row r="156" spans="1:20" x14ac:dyDescent="0.35">
      <c r="A156" t="s">
        <v>18</v>
      </c>
      <c r="B156" t="s">
        <v>375</v>
      </c>
      <c r="C156" t="s">
        <v>376</v>
      </c>
      <c r="D156" t="s">
        <v>21</v>
      </c>
      <c r="E156">
        <v>49.666699999999999</v>
      </c>
      <c r="F156">
        <v>18.866700000000002</v>
      </c>
      <c r="G156" t="s">
        <v>32</v>
      </c>
      <c r="H156" t="s">
        <v>39</v>
      </c>
      <c r="I156" t="s">
        <v>387</v>
      </c>
      <c r="J156" t="s">
        <v>95</v>
      </c>
      <c r="K156">
        <v>3</v>
      </c>
      <c r="L156">
        <v>80</v>
      </c>
      <c r="M156">
        <v>240</v>
      </c>
      <c r="N156">
        <v>240</v>
      </c>
      <c r="O156">
        <v>0</v>
      </c>
      <c r="P156" t="s">
        <v>26</v>
      </c>
      <c r="Q156">
        <v>2018</v>
      </c>
      <c r="R156" t="s">
        <v>70</v>
      </c>
      <c r="S156" t="s">
        <v>71</v>
      </c>
      <c r="T156" t="s">
        <v>72</v>
      </c>
    </row>
    <row r="157" spans="1:20" x14ac:dyDescent="0.35">
      <c r="A157" t="s">
        <v>18</v>
      </c>
      <c r="B157" t="s">
        <v>388</v>
      </c>
      <c r="C157" t="s">
        <v>389</v>
      </c>
      <c r="D157" t="s">
        <v>21</v>
      </c>
      <c r="E157">
        <v>50.3</v>
      </c>
      <c r="F157">
        <v>19.166699999999999</v>
      </c>
      <c r="G157" t="s">
        <v>32</v>
      </c>
      <c r="H157" t="s">
        <v>33</v>
      </c>
      <c r="I157" t="s">
        <v>66</v>
      </c>
      <c r="J157" t="s">
        <v>25</v>
      </c>
      <c r="K157">
        <v>4</v>
      </c>
      <c r="L157">
        <v>742</v>
      </c>
      <c r="M157">
        <v>2968</v>
      </c>
      <c r="N157">
        <v>2968</v>
      </c>
      <c r="O157">
        <v>0</v>
      </c>
      <c r="P157" t="s">
        <v>91</v>
      </c>
      <c r="Q157">
        <v>2018</v>
      </c>
      <c r="R157" t="s">
        <v>119</v>
      </c>
      <c r="S157" t="s">
        <v>71</v>
      </c>
      <c r="T157" t="s">
        <v>72</v>
      </c>
    </row>
    <row r="158" spans="1:20" x14ac:dyDescent="0.35">
      <c r="A158" t="s">
        <v>18</v>
      </c>
      <c r="B158" t="s">
        <v>390</v>
      </c>
      <c r="C158" t="s">
        <v>391</v>
      </c>
      <c r="D158" t="s">
        <v>21</v>
      </c>
      <c r="E158">
        <v>50.170999999999999</v>
      </c>
      <c r="F158">
        <v>18.9041</v>
      </c>
      <c r="G158" t="s">
        <v>22</v>
      </c>
      <c r="H158" t="s">
        <v>79</v>
      </c>
      <c r="I158" t="s">
        <v>392</v>
      </c>
      <c r="J158" t="s">
        <v>86</v>
      </c>
      <c r="K158">
        <v>10</v>
      </c>
      <c r="L158">
        <v>34</v>
      </c>
      <c r="M158">
        <v>340</v>
      </c>
      <c r="N158">
        <v>340</v>
      </c>
      <c r="O158">
        <v>0</v>
      </c>
      <c r="P158" t="s">
        <v>26</v>
      </c>
      <c r="Q158">
        <v>2018</v>
      </c>
      <c r="R158" t="s">
        <v>57</v>
      </c>
      <c r="S158" t="s">
        <v>58</v>
      </c>
      <c r="T158" t="s">
        <v>59</v>
      </c>
    </row>
    <row r="159" spans="1:20" x14ac:dyDescent="0.35">
      <c r="A159" t="s">
        <v>18</v>
      </c>
      <c r="B159" t="s">
        <v>48</v>
      </c>
      <c r="C159" t="s">
        <v>49</v>
      </c>
      <c r="D159" t="s">
        <v>21</v>
      </c>
      <c r="E159">
        <v>53.78</v>
      </c>
      <c r="F159">
        <v>20.494199999999999</v>
      </c>
      <c r="G159" t="s">
        <v>32</v>
      </c>
      <c r="H159" t="s">
        <v>33</v>
      </c>
      <c r="I159" t="s">
        <v>204</v>
      </c>
      <c r="J159" t="s">
        <v>25</v>
      </c>
      <c r="K159">
        <v>10</v>
      </c>
      <c r="L159">
        <v>99</v>
      </c>
      <c r="M159">
        <v>990</v>
      </c>
      <c r="N159">
        <v>990</v>
      </c>
      <c r="O159">
        <v>0</v>
      </c>
      <c r="P159" t="s">
        <v>26</v>
      </c>
      <c r="Q159">
        <v>2018</v>
      </c>
      <c r="R159" t="s">
        <v>52</v>
      </c>
      <c r="S159" t="s">
        <v>28</v>
      </c>
      <c r="T159" t="s">
        <v>29</v>
      </c>
    </row>
    <row r="160" spans="1:20" x14ac:dyDescent="0.35">
      <c r="A160" t="s">
        <v>18</v>
      </c>
      <c r="B160" t="s">
        <v>393</v>
      </c>
      <c r="C160" t="s">
        <v>394</v>
      </c>
      <c r="D160" t="s">
        <v>21</v>
      </c>
      <c r="E160">
        <v>50.059100000000001</v>
      </c>
      <c r="F160">
        <v>22.4941</v>
      </c>
      <c r="G160" t="s">
        <v>32</v>
      </c>
      <c r="H160" t="s">
        <v>39</v>
      </c>
      <c r="I160" t="s">
        <v>395</v>
      </c>
      <c r="J160" t="s">
        <v>35</v>
      </c>
      <c r="K160">
        <v>5</v>
      </c>
      <c r="L160">
        <v>400</v>
      </c>
      <c r="M160">
        <v>2000</v>
      </c>
      <c r="N160">
        <v>2000</v>
      </c>
      <c r="O160">
        <v>0</v>
      </c>
      <c r="P160" t="s">
        <v>26</v>
      </c>
      <c r="Q160">
        <v>2018</v>
      </c>
      <c r="R160" t="s">
        <v>87</v>
      </c>
      <c r="S160" t="s">
        <v>42</v>
      </c>
      <c r="T160" t="s">
        <v>43</v>
      </c>
    </row>
    <row r="161" spans="1:20" x14ac:dyDescent="0.35">
      <c r="A161" t="s">
        <v>18</v>
      </c>
      <c r="B161" t="s">
        <v>396</v>
      </c>
      <c r="C161" t="s">
        <v>397</v>
      </c>
      <c r="D161" t="s">
        <v>21</v>
      </c>
      <c r="E161">
        <v>53.183300000000003</v>
      </c>
      <c r="F161">
        <v>22.083300000000001</v>
      </c>
      <c r="G161" t="s">
        <v>32</v>
      </c>
      <c r="H161" t="s">
        <v>33</v>
      </c>
      <c r="I161" t="s">
        <v>398</v>
      </c>
      <c r="J161" t="s">
        <v>25</v>
      </c>
      <c r="K161">
        <v>6</v>
      </c>
      <c r="L161">
        <v>140</v>
      </c>
      <c r="M161">
        <v>840</v>
      </c>
      <c r="N161">
        <v>840</v>
      </c>
      <c r="O161">
        <v>0</v>
      </c>
      <c r="P161" t="s">
        <v>91</v>
      </c>
      <c r="Q161">
        <v>2018</v>
      </c>
      <c r="R161" t="s">
        <v>119</v>
      </c>
      <c r="S161" t="s">
        <v>71</v>
      </c>
      <c r="T161" t="s">
        <v>72</v>
      </c>
    </row>
    <row r="162" spans="1:20" x14ac:dyDescent="0.35">
      <c r="A162" t="s">
        <v>18</v>
      </c>
      <c r="B162" t="s">
        <v>399</v>
      </c>
      <c r="C162" t="s">
        <v>400</v>
      </c>
      <c r="D162" t="s">
        <v>21</v>
      </c>
      <c r="E162">
        <v>49.6556</v>
      </c>
      <c r="F162">
        <v>21.160399999999999</v>
      </c>
      <c r="G162" t="s">
        <v>22</v>
      </c>
      <c r="H162" t="s">
        <v>79</v>
      </c>
      <c r="I162" t="s">
        <v>401</v>
      </c>
      <c r="J162" t="s">
        <v>47</v>
      </c>
      <c r="K162">
        <v>5</v>
      </c>
      <c r="L162">
        <v>113</v>
      </c>
      <c r="M162">
        <v>565</v>
      </c>
      <c r="N162">
        <v>565</v>
      </c>
      <c r="O162">
        <v>0</v>
      </c>
      <c r="P162" t="s">
        <v>26</v>
      </c>
      <c r="Q162">
        <v>2018</v>
      </c>
      <c r="R162" t="s">
        <v>41</v>
      </c>
      <c r="S162" t="s">
        <v>42</v>
      </c>
      <c r="T162" t="s">
        <v>43</v>
      </c>
    </row>
    <row r="163" spans="1:20" x14ac:dyDescent="0.35">
      <c r="A163" t="s">
        <v>18</v>
      </c>
      <c r="B163" t="s">
        <v>402</v>
      </c>
      <c r="C163" t="s">
        <v>403</v>
      </c>
      <c r="D163" t="s">
        <v>21</v>
      </c>
      <c r="E163">
        <v>54.166699999999999</v>
      </c>
      <c r="F163">
        <v>15.566700000000001</v>
      </c>
      <c r="G163" t="s">
        <v>32</v>
      </c>
      <c r="H163" t="s">
        <v>39</v>
      </c>
      <c r="I163" t="s">
        <v>404</v>
      </c>
      <c r="J163" t="s">
        <v>134</v>
      </c>
      <c r="K163">
        <v>11</v>
      </c>
      <c r="L163">
        <v>408</v>
      </c>
      <c r="M163">
        <v>4488</v>
      </c>
      <c r="N163">
        <v>4488</v>
      </c>
      <c r="O163">
        <v>0</v>
      </c>
      <c r="P163" t="s">
        <v>26</v>
      </c>
      <c r="Q163">
        <v>2018</v>
      </c>
      <c r="R163" t="s">
        <v>76</v>
      </c>
      <c r="S163" t="s">
        <v>42</v>
      </c>
      <c r="T163" t="s">
        <v>43</v>
      </c>
    </row>
    <row r="164" spans="1:20" x14ac:dyDescent="0.35">
      <c r="A164" t="s">
        <v>18</v>
      </c>
      <c r="B164" t="s">
        <v>328</v>
      </c>
      <c r="C164" t="s">
        <v>329</v>
      </c>
      <c r="D164" t="s">
        <v>21</v>
      </c>
      <c r="E164">
        <v>51</v>
      </c>
      <c r="F164">
        <v>16.333300000000001</v>
      </c>
      <c r="G164" t="s">
        <v>32</v>
      </c>
      <c r="H164" t="s">
        <v>39</v>
      </c>
      <c r="I164" t="s">
        <v>405</v>
      </c>
      <c r="J164" t="s">
        <v>47</v>
      </c>
      <c r="K164">
        <v>5</v>
      </c>
      <c r="L164">
        <v>319</v>
      </c>
      <c r="M164">
        <v>1595</v>
      </c>
      <c r="N164">
        <v>1595</v>
      </c>
      <c r="O164">
        <v>0</v>
      </c>
      <c r="P164" t="s">
        <v>26</v>
      </c>
      <c r="Q164">
        <v>2018</v>
      </c>
      <c r="R164" t="s">
        <v>36</v>
      </c>
      <c r="S164" t="s">
        <v>28</v>
      </c>
      <c r="T164" t="s">
        <v>29</v>
      </c>
    </row>
    <row r="165" spans="1:20" x14ac:dyDescent="0.35">
      <c r="A165" t="s">
        <v>18</v>
      </c>
      <c r="B165" t="s">
        <v>390</v>
      </c>
      <c r="C165" t="s">
        <v>391</v>
      </c>
      <c r="D165" t="s">
        <v>21</v>
      </c>
      <c r="E165">
        <v>50.170999999999999</v>
      </c>
      <c r="F165">
        <v>18.9041</v>
      </c>
      <c r="G165" t="s">
        <v>22</v>
      </c>
      <c r="H165" t="s">
        <v>79</v>
      </c>
      <c r="I165" t="s">
        <v>378</v>
      </c>
      <c r="J165" t="s">
        <v>25</v>
      </c>
      <c r="K165">
        <v>10</v>
      </c>
      <c r="L165">
        <v>513</v>
      </c>
      <c r="M165">
        <v>5130</v>
      </c>
      <c r="N165">
        <v>5130</v>
      </c>
      <c r="O165">
        <v>0</v>
      </c>
      <c r="P165" t="s">
        <v>26</v>
      </c>
      <c r="Q165">
        <v>2018</v>
      </c>
      <c r="R165" t="s">
        <v>41</v>
      </c>
      <c r="S165" t="s">
        <v>42</v>
      </c>
      <c r="T165" t="s">
        <v>43</v>
      </c>
    </row>
    <row r="166" spans="1:20" x14ac:dyDescent="0.35">
      <c r="A166" t="s">
        <v>18</v>
      </c>
      <c r="B166" t="s">
        <v>295</v>
      </c>
      <c r="C166" t="s">
        <v>296</v>
      </c>
      <c r="D166" t="s">
        <v>21</v>
      </c>
      <c r="E166">
        <v>50.313099999999999</v>
      </c>
      <c r="F166">
        <v>17.374199999999998</v>
      </c>
      <c r="G166" t="s">
        <v>22</v>
      </c>
      <c r="H166" t="s">
        <v>79</v>
      </c>
      <c r="I166" t="s">
        <v>406</v>
      </c>
      <c r="J166" t="s">
        <v>86</v>
      </c>
      <c r="K166">
        <v>6</v>
      </c>
      <c r="L166">
        <v>345</v>
      </c>
      <c r="M166">
        <v>2070</v>
      </c>
      <c r="N166">
        <v>2070</v>
      </c>
      <c r="O166">
        <v>0</v>
      </c>
      <c r="P166" t="s">
        <v>26</v>
      </c>
      <c r="Q166">
        <v>2018</v>
      </c>
      <c r="R166" t="s">
        <v>76</v>
      </c>
      <c r="S166" t="s">
        <v>42</v>
      </c>
      <c r="T166" t="s">
        <v>43</v>
      </c>
    </row>
    <row r="167" spans="1:20" x14ac:dyDescent="0.35">
      <c r="A167" t="s">
        <v>18</v>
      </c>
      <c r="B167" t="s">
        <v>157</v>
      </c>
      <c r="C167" t="s">
        <v>158</v>
      </c>
      <c r="D167" t="s">
        <v>264</v>
      </c>
      <c r="E167">
        <v>49.822499999999998</v>
      </c>
      <c r="F167">
        <v>19.0444</v>
      </c>
      <c r="G167" t="s">
        <v>32</v>
      </c>
      <c r="H167" t="s">
        <v>39</v>
      </c>
      <c r="I167" t="s">
        <v>407</v>
      </c>
      <c r="J167" t="s">
        <v>86</v>
      </c>
      <c r="K167">
        <v>6</v>
      </c>
      <c r="L167">
        <v>375</v>
      </c>
      <c r="M167">
        <v>2250</v>
      </c>
      <c r="N167">
        <v>2250</v>
      </c>
      <c r="O167">
        <v>0</v>
      </c>
      <c r="P167" t="s">
        <v>26</v>
      </c>
      <c r="Q167">
        <v>2018</v>
      </c>
      <c r="R167" t="s">
        <v>41</v>
      </c>
      <c r="S167" t="s">
        <v>42</v>
      </c>
      <c r="T167" t="s">
        <v>43</v>
      </c>
    </row>
    <row r="168" spans="1:20" x14ac:dyDescent="0.35">
      <c r="A168" t="s">
        <v>18</v>
      </c>
      <c r="B168" t="s">
        <v>67</v>
      </c>
      <c r="C168" t="s">
        <v>68</v>
      </c>
      <c r="D168" t="s">
        <v>264</v>
      </c>
      <c r="E168">
        <v>53.3583</v>
      </c>
      <c r="F168">
        <v>20.425000000000001</v>
      </c>
      <c r="G168" t="s">
        <v>22</v>
      </c>
      <c r="H168" t="s">
        <v>23</v>
      </c>
      <c r="I168" t="s">
        <v>401</v>
      </c>
      <c r="J168" t="s">
        <v>47</v>
      </c>
      <c r="K168">
        <v>6</v>
      </c>
      <c r="L168">
        <v>113</v>
      </c>
      <c r="M168">
        <v>678</v>
      </c>
      <c r="N168">
        <v>678</v>
      </c>
      <c r="O168">
        <v>0</v>
      </c>
      <c r="P168" t="s">
        <v>26</v>
      </c>
      <c r="Q168">
        <v>2018</v>
      </c>
      <c r="R168" t="s">
        <v>63</v>
      </c>
      <c r="S168" t="s">
        <v>28</v>
      </c>
      <c r="T168" t="s">
        <v>29</v>
      </c>
    </row>
    <row r="169" spans="1:20" x14ac:dyDescent="0.35">
      <c r="A169" t="s">
        <v>18</v>
      </c>
      <c r="B169" t="s">
        <v>195</v>
      </c>
      <c r="C169" t="s">
        <v>196</v>
      </c>
      <c r="D169" t="s">
        <v>21</v>
      </c>
      <c r="E169">
        <v>53.4925</v>
      </c>
      <c r="F169">
        <v>18.7761</v>
      </c>
      <c r="G169" t="s">
        <v>32</v>
      </c>
      <c r="H169" t="s">
        <v>33</v>
      </c>
      <c r="I169" t="s">
        <v>381</v>
      </c>
      <c r="J169" t="s">
        <v>25</v>
      </c>
      <c r="K169">
        <v>2</v>
      </c>
      <c r="L169">
        <v>361</v>
      </c>
      <c r="M169">
        <v>722</v>
      </c>
      <c r="N169">
        <v>722</v>
      </c>
      <c r="O169">
        <v>0</v>
      </c>
      <c r="P169" t="s">
        <v>26</v>
      </c>
      <c r="Q169">
        <v>2018</v>
      </c>
      <c r="R169" t="s">
        <v>76</v>
      </c>
      <c r="S169" t="s">
        <v>42</v>
      </c>
      <c r="T169" t="s">
        <v>43</v>
      </c>
    </row>
    <row r="170" spans="1:20" x14ac:dyDescent="0.35">
      <c r="A170" t="s">
        <v>18</v>
      </c>
      <c r="B170" t="s">
        <v>67</v>
      </c>
      <c r="C170" t="s">
        <v>68</v>
      </c>
      <c r="D170" t="s">
        <v>21</v>
      </c>
      <c r="E170">
        <v>53.3583</v>
      </c>
      <c r="F170">
        <v>20.425000000000001</v>
      </c>
      <c r="G170" t="s">
        <v>22</v>
      </c>
      <c r="H170" t="s">
        <v>23</v>
      </c>
      <c r="I170" t="s">
        <v>408</v>
      </c>
      <c r="J170" t="s">
        <v>86</v>
      </c>
      <c r="K170">
        <v>3</v>
      </c>
      <c r="L170">
        <v>612</v>
      </c>
      <c r="M170">
        <v>1836</v>
      </c>
      <c r="N170">
        <v>1836</v>
      </c>
      <c r="O170">
        <v>0</v>
      </c>
      <c r="P170" t="s">
        <v>26</v>
      </c>
      <c r="Q170">
        <v>2018</v>
      </c>
      <c r="R170" t="s">
        <v>105</v>
      </c>
      <c r="S170" t="s">
        <v>71</v>
      </c>
      <c r="T170" t="s">
        <v>72</v>
      </c>
    </row>
    <row r="171" spans="1:20" x14ac:dyDescent="0.35">
      <c r="A171" t="s">
        <v>18</v>
      </c>
      <c r="B171" t="s">
        <v>409</v>
      </c>
      <c r="C171" t="s">
        <v>410</v>
      </c>
      <c r="D171" t="s">
        <v>21</v>
      </c>
      <c r="E171">
        <v>53.735799999999998</v>
      </c>
      <c r="F171">
        <v>18.930800000000001</v>
      </c>
      <c r="G171" t="s">
        <v>32</v>
      </c>
      <c r="H171" t="s">
        <v>39</v>
      </c>
      <c r="I171" t="s">
        <v>411</v>
      </c>
      <c r="J171" t="s">
        <v>95</v>
      </c>
      <c r="K171">
        <v>3</v>
      </c>
      <c r="L171">
        <v>590</v>
      </c>
      <c r="M171">
        <v>1770</v>
      </c>
      <c r="N171">
        <v>1770</v>
      </c>
      <c r="O171">
        <v>0</v>
      </c>
      <c r="P171" t="s">
        <v>91</v>
      </c>
      <c r="Q171">
        <v>2018</v>
      </c>
      <c r="R171" t="s">
        <v>57</v>
      </c>
      <c r="S171" t="s">
        <v>58</v>
      </c>
      <c r="T171" t="s">
        <v>59</v>
      </c>
    </row>
    <row r="172" spans="1:20" x14ac:dyDescent="0.35">
      <c r="A172" t="s">
        <v>18</v>
      </c>
      <c r="B172" t="s">
        <v>412</v>
      </c>
      <c r="C172" t="s">
        <v>413</v>
      </c>
      <c r="D172" t="s">
        <v>264</v>
      </c>
      <c r="E172">
        <v>53.116700000000002</v>
      </c>
      <c r="F172">
        <v>18</v>
      </c>
      <c r="G172" t="s">
        <v>22</v>
      </c>
      <c r="H172" t="s">
        <v>23</v>
      </c>
      <c r="I172" t="s">
        <v>349</v>
      </c>
      <c r="J172" t="s">
        <v>35</v>
      </c>
      <c r="K172">
        <v>1</v>
      </c>
      <c r="L172">
        <v>401</v>
      </c>
      <c r="M172">
        <v>401</v>
      </c>
      <c r="N172">
        <v>401</v>
      </c>
      <c r="O172">
        <v>0</v>
      </c>
      <c r="P172" t="s">
        <v>26</v>
      </c>
      <c r="Q172">
        <v>2018</v>
      </c>
      <c r="R172" t="s">
        <v>70</v>
      </c>
      <c r="S172" t="s">
        <v>71</v>
      </c>
      <c r="T172" t="s">
        <v>72</v>
      </c>
    </row>
    <row r="173" spans="1:20" x14ac:dyDescent="0.35">
      <c r="A173" t="s">
        <v>18</v>
      </c>
      <c r="B173" t="s">
        <v>146</v>
      </c>
      <c r="C173" t="s">
        <v>147</v>
      </c>
      <c r="D173" t="s">
        <v>21</v>
      </c>
      <c r="E173">
        <v>50.475099999999998</v>
      </c>
      <c r="F173">
        <v>17.965399999999999</v>
      </c>
      <c r="G173" t="s">
        <v>32</v>
      </c>
      <c r="H173" t="s">
        <v>39</v>
      </c>
      <c r="I173" t="s">
        <v>414</v>
      </c>
      <c r="J173" t="s">
        <v>47</v>
      </c>
      <c r="K173">
        <v>5</v>
      </c>
      <c r="L173">
        <v>445</v>
      </c>
      <c r="M173">
        <v>2225</v>
      </c>
      <c r="N173">
        <v>2225</v>
      </c>
      <c r="O173">
        <v>0</v>
      </c>
      <c r="P173" t="s">
        <v>26</v>
      </c>
      <c r="Q173">
        <v>2018</v>
      </c>
      <c r="R173" t="s">
        <v>87</v>
      </c>
      <c r="S173" t="s">
        <v>42</v>
      </c>
      <c r="T173" t="s">
        <v>43</v>
      </c>
    </row>
    <row r="174" spans="1:20" x14ac:dyDescent="0.35">
      <c r="A174" t="s">
        <v>18</v>
      </c>
      <c r="B174" t="s">
        <v>415</v>
      </c>
      <c r="C174" t="s">
        <v>416</v>
      </c>
      <c r="D174" t="s">
        <v>21</v>
      </c>
      <c r="E174">
        <v>51.787700000000001</v>
      </c>
      <c r="F174">
        <v>14.9724</v>
      </c>
      <c r="G174" t="s">
        <v>22</v>
      </c>
      <c r="H174" t="s">
        <v>23</v>
      </c>
      <c r="I174" t="s">
        <v>349</v>
      </c>
      <c r="J174" t="s">
        <v>35</v>
      </c>
      <c r="K174">
        <v>20</v>
      </c>
      <c r="L174">
        <v>401</v>
      </c>
      <c r="M174">
        <v>8020</v>
      </c>
      <c r="N174">
        <v>8020</v>
      </c>
      <c r="O174">
        <v>0</v>
      </c>
      <c r="P174" t="s">
        <v>26</v>
      </c>
      <c r="Q174">
        <v>2018</v>
      </c>
      <c r="R174" t="s">
        <v>70</v>
      </c>
      <c r="S174" t="s">
        <v>71</v>
      </c>
      <c r="T174" t="s">
        <v>72</v>
      </c>
    </row>
    <row r="175" spans="1:20" x14ac:dyDescent="0.35">
      <c r="A175" t="s">
        <v>18</v>
      </c>
      <c r="B175" t="s">
        <v>388</v>
      </c>
      <c r="C175" t="s">
        <v>389</v>
      </c>
      <c r="D175" t="s">
        <v>264</v>
      </c>
      <c r="E175">
        <v>50.3</v>
      </c>
      <c r="F175">
        <v>19.166699999999999</v>
      </c>
      <c r="G175" t="s">
        <v>32</v>
      </c>
      <c r="H175" t="s">
        <v>33</v>
      </c>
      <c r="I175" t="s">
        <v>318</v>
      </c>
      <c r="J175" t="s">
        <v>86</v>
      </c>
      <c r="K175">
        <v>10</v>
      </c>
      <c r="L175">
        <v>655</v>
      </c>
      <c r="M175">
        <v>6550</v>
      </c>
      <c r="N175">
        <v>6550</v>
      </c>
      <c r="O175">
        <v>0</v>
      </c>
      <c r="P175" t="s">
        <v>26</v>
      </c>
      <c r="Q175">
        <v>2018</v>
      </c>
      <c r="R175" t="s">
        <v>87</v>
      </c>
      <c r="S175" t="s">
        <v>42</v>
      </c>
      <c r="T175" t="s">
        <v>43</v>
      </c>
    </row>
    <row r="176" spans="1:20" x14ac:dyDescent="0.35">
      <c r="A176" t="s">
        <v>18</v>
      </c>
      <c r="B176" t="s">
        <v>417</v>
      </c>
      <c r="C176" t="s">
        <v>418</v>
      </c>
      <c r="D176" t="s">
        <v>21</v>
      </c>
      <c r="E176">
        <v>50.933300000000003</v>
      </c>
      <c r="F176">
        <v>21.4</v>
      </c>
      <c r="G176" t="s">
        <v>32</v>
      </c>
      <c r="H176" t="s">
        <v>39</v>
      </c>
      <c r="I176" t="s">
        <v>419</v>
      </c>
      <c r="J176" t="s">
        <v>47</v>
      </c>
      <c r="K176">
        <v>6</v>
      </c>
      <c r="L176">
        <v>301</v>
      </c>
      <c r="M176">
        <v>1806</v>
      </c>
      <c r="N176">
        <v>1806</v>
      </c>
      <c r="O176">
        <v>0</v>
      </c>
      <c r="P176" t="s">
        <v>26</v>
      </c>
      <c r="Q176">
        <v>2018</v>
      </c>
      <c r="R176" t="s">
        <v>52</v>
      </c>
      <c r="S176" t="s">
        <v>28</v>
      </c>
      <c r="T176" t="s">
        <v>29</v>
      </c>
    </row>
    <row r="177" spans="1:20" x14ac:dyDescent="0.35">
      <c r="A177" t="s">
        <v>18</v>
      </c>
      <c r="B177" t="s">
        <v>30</v>
      </c>
      <c r="C177" t="s">
        <v>31</v>
      </c>
      <c r="D177" t="s">
        <v>21</v>
      </c>
      <c r="E177">
        <v>53.416699999999999</v>
      </c>
      <c r="F177">
        <v>18.433299999999999</v>
      </c>
      <c r="G177" t="s">
        <v>32</v>
      </c>
      <c r="H177" t="s">
        <v>33</v>
      </c>
      <c r="I177" t="s">
        <v>420</v>
      </c>
      <c r="J177" t="s">
        <v>134</v>
      </c>
      <c r="K177">
        <v>4</v>
      </c>
      <c r="L177">
        <v>73</v>
      </c>
      <c r="M177">
        <v>292</v>
      </c>
      <c r="N177">
        <v>292</v>
      </c>
      <c r="O177">
        <v>0</v>
      </c>
      <c r="P177" t="s">
        <v>26</v>
      </c>
      <c r="Q177">
        <v>2018</v>
      </c>
      <c r="R177" t="s">
        <v>105</v>
      </c>
      <c r="S177" t="s">
        <v>71</v>
      </c>
      <c r="T177" t="s">
        <v>72</v>
      </c>
    </row>
    <row r="178" spans="1:20" x14ac:dyDescent="0.35">
      <c r="A178" t="s">
        <v>18</v>
      </c>
      <c r="B178" t="s">
        <v>421</v>
      </c>
      <c r="C178" t="s">
        <v>422</v>
      </c>
      <c r="D178" t="s">
        <v>21</v>
      </c>
      <c r="E178">
        <v>50.262799999999999</v>
      </c>
      <c r="F178">
        <v>18.8536</v>
      </c>
      <c r="G178" t="s">
        <v>32</v>
      </c>
      <c r="H178" t="s">
        <v>39</v>
      </c>
      <c r="I178" t="s">
        <v>423</v>
      </c>
      <c r="J178" t="s">
        <v>86</v>
      </c>
      <c r="K178">
        <v>10</v>
      </c>
      <c r="L178">
        <v>343</v>
      </c>
      <c r="M178">
        <v>3430</v>
      </c>
      <c r="N178">
        <v>3430</v>
      </c>
      <c r="O178">
        <v>0</v>
      </c>
      <c r="P178" t="s">
        <v>26</v>
      </c>
      <c r="Q178">
        <v>2018</v>
      </c>
      <c r="R178" t="s">
        <v>52</v>
      </c>
      <c r="S178" t="s">
        <v>28</v>
      </c>
      <c r="T178" t="s">
        <v>29</v>
      </c>
    </row>
    <row r="179" spans="1:20" x14ac:dyDescent="0.35">
      <c r="A179" t="s">
        <v>18</v>
      </c>
      <c r="B179" t="s">
        <v>424</v>
      </c>
      <c r="C179" t="s">
        <v>425</v>
      </c>
      <c r="D179" t="s">
        <v>21</v>
      </c>
      <c r="E179">
        <v>52.416699999999999</v>
      </c>
      <c r="F179">
        <v>19.466699999999999</v>
      </c>
      <c r="G179" t="s">
        <v>22</v>
      </c>
      <c r="H179" t="s">
        <v>23</v>
      </c>
      <c r="I179" t="s">
        <v>426</v>
      </c>
      <c r="J179" t="s">
        <v>86</v>
      </c>
      <c r="K179">
        <v>10</v>
      </c>
      <c r="L179">
        <v>35</v>
      </c>
      <c r="M179">
        <v>350</v>
      </c>
      <c r="N179">
        <v>350</v>
      </c>
      <c r="O179">
        <v>0</v>
      </c>
      <c r="P179" t="s">
        <v>26</v>
      </c>
      <c r="Q179">
        <v>2018</v>
      </c>
      <c r="R179" t="s">
        <v>82</v>
      </c>
      <c r="S179" t="s">
        <v>58</v>
      </c>
      <c r="T179" t="s">
        <v>59</v>
      </c>
    </row>
    <row r="180" spans="1:20" x14ac:dyDescent="0.35">
      <c r="A180" t="s">
        <v>18</v>
      </c>
      <c r="B180" t="s">
        <v>415</v>
      </c>
      <c r="C180" t="s">
        <v>416</v>
      </c>
      <c r="D180" t="s">
        <v>21</v>
      </c>
      <c r="E180">
        <v>51.787700000000001</v>
      </c>
      <c r="F180">
        <v>14.9724</v>
      </c>
      <c r="G180" t="s">
        <v>22</v>
      </c>
      <c r="H180" t="s">
        <v>23</v>
      </c>
      <c r="I180" t="s">
        <v>427</v>
      </c>
      <c r="J180" t="s">
        <v>35</v>
      </c>
      <c r="K180">
        <v>6</v>
      </c>
      <c r="L180">
        <v>664</v>
      </c>
      <c r="M180">
        <v>3984</v>
      </c>
      <c r="N180">
        <v>3984</v>
      </c>
      <c r="O180">
        <v>0</v>
      </c>
      <c r="P180" t="s">
        <v>26</v>
      </c>
      <c r="Q180">
        <v>2018</v>
      </c>
      <c r="R180" t="s">
        <v>52</v>
      </c>
      <c r="S180" t="s">
        <v>28</v>
      </c>
      <c r="T180" t="s">
        <v>29</v>
      </c>
    </row>
    <row r="181" spans="1:20" x14ac:dyDescent="0.35">
      <c r="A181" t="s">
        <v>18</v>
      </c>
      <c r="B181" t="s">
        <v>229</v>
      </c>
      <c r="C181" t="s">
        <v>230</v>
      </c>
      <c r="D181" t="s">
        <v>21</v>
      </c>
      <c r="E181">
        <v>54.441899999999997</v>
      </c>
      <c r="F181">
        <v>18.547799999999999</v>
      </c>
      <c r="G181" t="s">
        <v>22</v>
      </c>
      <c r="H181" t="s">
        <v>23</v>
      </c>
      <c r="I181" t="s">
        <v>428</v>
      </c>
      <c r="J181" t="s">
        <v>95</v>
      </c>
      <c r="K181">
        <v>2</v>
      </c>
      <c r="L181">
        <v>420</v>
      </c>
      <c r="M181">
        <v>840</v>
      </c>
      <c r="N181">
        <v>840</v>
      </c>
      <c r="O181">
        <v>0</v>
      </c>
      <c r="P181" t="s">
        <v>26</v>
      </c>
      <c r="Q181">
        <v>2018</v>
      </c>
      <c r="R181" t="s">
        <v>63</v>
      </c>
      <c r="S181" t="s">
        <v>28</v>
      </c>
      <c r="T181" t="s">
        <v>29</v>
      </c>
    </row>
    <row r="182" spans="1:20" x14ac:dyDescent="0.35">
      <c r="A182" t="s">
        <v>18</v>
      </c>
      <c r="B182" t="s">
        <v>314</v>
      </c>
      <c r="C182" t="s">
        <v>315</v>
      </c>
      <c r="D182" t="s">
        <v>21</v>
      </c>
      <c r="E182">
        <v>50.016199999999998</v>
      </c>
      <c r="F182">
        <v>22.677800000000001</v>
      </c>
      <c r="G182" t="s">
        <v>22</v>
      </c>
      <c r="H182" t="s">
        <v>79</v>
      </c>
      <c r="I182" t="s">
        <v>429</v>
      </c>
      <c r="J182" t="s">
        <v>134</v>
      </c>
      <c r="K182">
        <v>1</v>
      </c>
      <c r="L182">
        <v>420</v>
      </c>
      <c r="M182">
        <v>420</v>
      </c>
      <c r="N182">
        <v>420</v>
      </c>
      <c r="O182">
        <v>0</v>
      </c>
      <c r="P182" t="s">
        <v>26</v>
      </c>
      <c r="Q182">
        <v>2018</v>
      </c>
      <c r="R182" t="s">
        <v>70</v>
      </c>
      <c r="S182" t="s">
        <v>71</v>
      </c>
      <c r="T182" t="s">
        <v>72</v>
      </c>
    </row>
    <row r="183" spans="1:20" x14ac:dyDescent="0.35">
      <c r="A183" t="s">
        <v>18</v>
      </c>
      <c r="B183" t="s">
        <v>96</v>
      </c>
      <c r="C183" t="s">
        <v>97</v>
      </c>
      <c r="D183" t="s">
        <v>21</v>
      </c>
      <c r="E183">
        <v>50.45</v>
      </c>
      <c r="F183">
        <v>18.866700000000002</v>
      </c>
      <c r="G183" t="s">
        <v>22</v>
      </c>
      <c r="H183" t="s">
        <v>23</v>
      </c>
      <c r="I183" t="s">
        <v>277</v>
      </c>
      <c r="J183" t="s">
        <v>86</v>
      </c>
      <c r="K183">
        <v>5</v>
      </c>
      <c r="L183">
        <v>794</v>
      </c>
      <c r="M183">
        <v>3970</v>
      </c>
      <c r="N183">
        <v>3970</v>
      </c>
      <c r="O183">
        <v>0</v>
      </c>
      <c r="P183" t="s">
        <v>26</v>
      </c>
      <c r="Q183">
        <v>2018</v>
      </c>
      <c r="R183" t="s">
        <v>87</v>
      </c>
      <c r="S183" t="s">
        <v>42</v>
      </c>
      <c r="T183" t="s">
        <v>43</v>
      </c>
    </row>
    <row r="184" spans="1:20" x14ac:dyDescent="0.35">
      <c r="A184" t="s">
        <v>18</v>
      </c>
      <c r="B184" t="s">
        <v>430</v>
      </c>
      <c r="C184" t="s">
        <v>431</v>
      </c>
      <c r="D184" t="s">
        <v>21</v>
      </c>
      <c r="E184">
        <v>50.673099999999998</v>
      </c>
      <c r="F184">
        <v>18.213100000000001</v>
      </c>
      <c r="G184" t="s">
        <v>32</v>
      </c>
      <c r="H184" t="s">
        <v>39</v>
      </c>
      <c r="I184" t="s">
        <v>344</v>
      </c>
      <c r="J184" t="s">
        <v>35</v>
      </c>
      <c r="K184">
        <v>4</v>
      </c>
      <c r="L184">
        <v>611</v>
      </c>
      <c r="M184">
        <v>2444</v>
      </c>
      <c r="N184">
        <v>2444</v>
      </c>
      <c r="O184">
        <v>0</v>
      </c>
      <c r="P184" t="s">
        <v>26</v>
      </c>
      <c r="Q184">
        <v>2018</v>
      </c>
      <c r="R184" t="s">
        <v>63</v>
      </c>
      <c r="S184" t="s">
        <v>28</v>
      </c>
      <c r="T184" t="s">
        <v>29</v>
      </c>
    </row>
    <row r="185" spans="1:20" x14ac:dyDescent="0.35">
      <c r="A185" t="s">
        <v>18</v>
      </c>
      <c r="B185" t="s">
        <v>432</v>
      </c>
      <c r="C185" t="s">
        <v>433</v>
      </c>
      <c r="D185" t="s">
        <v>21</v>
      </c>
      <c r="E185">
        <v>52.427199999999999</v>
      </c>
      <c r="F185">
        <v>22.862500000000001</v>
      </c>
      <c r="G185" t="s">
        <v>22</v>
      </c>
      <c r="H185" t="s">
        <v>23</v>
      </c>
      <c r="I185" t="s">
        <v>423</v>
      </c>
      <c r="J185" t="s">
        <v>86</v>
      </c>
      <c r="K185">
        <v>2</v>
      </c>
      <c r="L185">
        <v>343</v>
      </c>
      <c r="M185">
        <v>686</v>
      </c>
      <c r="N185">
        <v>686</v>
      </c>
      <c r="O185">
        <v>0</v>
      </c>
      <c r="P185" t="s">
        <v>26</v>
      </c>
      <c r="Q185">
        <v>2018</v>
      </c>
      <c r="R185" t="s">
        <v>27</v>
      </c>
      <c r="S185" t="s">
        <v>28</v>
      </c>
      <c r="T185" t="s">
        <v>29</v>
      </c>
    </row>
    <row r="186" spans="1:20" x14ac:dyDescent="0.35">
      <c r="A186" t="s">
        <v>18</v>
      </c>
      <c r="B186" t="s">
        <v>67</v>
      </c>
      <c r="C186" t="s">
        <v>68</v>
      </c>
      <c r="D186" t="s">
        <v>21</v>
      </c>
      <c r="E186">
        <v>53.3583</v>
      </c>
      <c r="F186">
        <v>20.425000000000001</v>
      </c>
      <c r="G186" t="s">
        <v>22</v>
      </c>
      <c r="H186" t="s">
        <v>23</v>
      </c>
      <c r="I186" t="s">
        <v>148</v>
      </c>
      <c r="J186" t="s">
        <v>86</v>
      </c>
      <c r="K186">
        <v>2</v>
      </c>
      <c r="L186">
        <v>692</v>
      </c>
      <c r="M186">
        <v>1384</v>
      </c>
      <c r="N186">
        <v>1384</v>
      </c>
      <c r="O186">
        <v>0</v>
      </c>
      <c r="P186" t="s">
        <v>91</v>
      </c>
      <c r="Q186">
        <v>2018</v>
      </c>
      <c r="R186" t="s">
        <v>105</v>
      </c>
      <c r="S186" t="s">
        <v>71</v>
      </c>
      <c r="T186" t="s">
        <v>72</v>
      </c>
    </row>
    <row r="187" spans="1:20" x14ac:dyDescent="0.35">
      <c r="A187" t="s">
        <v>18</v>
      </c>
      <c r="B187" t="s">
        <v>138</v>
      </c>
      <c r="C187" t="s">
        <v>139</v>
      </c>
      <c r="D187" t="s">
        <v>21</v>
      </c>
      <c r="E187">
        <v>50.1556</v>
      </c>
      <c r="F187">
        <v>23.123000000000001</v>
      </c>
      <c r="G187" t="s">
        <v>32</v>
      </c>
      <c r="H187" t="s">
        <v>39</v>
      </c>
      <c r="I187" t="s">
        <v>168</v>
      </c>
      <c r="J187" t="s">
        <v>95</v>
      </c>
      <c r="K187">
        <v>6</v>
      </c>
      <c r="L187">
        <v>768</v>
      </c>
      <c r="M187">
        <v>4608</v>
      </c>
      <c r="N187">
        <v>4608</v>
      </c>
      <c r="O187">
        <v>0</v>
      </c>
      <c r="P187" t="s">
        <v>26</v>
      </c>
      <c r="Q187">
        <v>2018</v>
      </c>
      <c r="R187" t="s">
        <v>57</v>
      </c>
      <c r="S187" t="s">
        <v>58</v>
      </c>
      <c r="T187" t="s">
        <v>59</v>
      </c>
    </row>
    <row r="188" spans="1:20" x14ac:dyDescent="0.35">
      <c r="A188" t="s">
        <v>18</v>
      </c>
      <c r="B188" t="s">
        <v>286</v>
      </c>
      <c r="C188" t="s">
        <v>287</v>
      </c>
      <c r="D188" t="s">
        <v>21</v>
      </c>
      <c r="E188">
        <v>50.297600000000003</v>
      </c>
      <c r="F188">
        <v>18.676600000000001</v>
      </c>
      <c r="G188" t="s">
        <v>32</v>
      </c>
      <c r="H188" t="s">
        <v>33</v>
      </c>
      <c r="I188" t="s">
        <v>434</v>
      </c>
      <c r="J188" t="s">
        <v>25</v>
      </c>
      <c r="K188">
        <v>100</v>
      </c>
      <c r="L188">
        <v>180</v>
      </c>
      <c r="M188">
        <v>18000</v>
      </c>
      <c r="N188">
        <v>18000</v>
      </c>
      <c r="O188">
        <v>0</v>
      </c>
      <c r="P188" t="s">
        <v>26</v>
      </c>
      <c r="Q188">
        <v>2018</v>
      </c>
      <c r="R188" t="s">
        <v>63</v>
      </c>
      <c r="S188" t="s">
        <v>28</v>
      </c>
      <c r="T188" t="s">
        <v>29</v>
      </c>
    </row>
    <row r="189" spans="1:20" x14ac:dyDescent="0.35">
      <c r="A189" t="s">
        <v>18</v>
      </c>
      <c r="B189" t="s">
        <v>288</v>
      </c>
      <c r="C189" t="s">
        <v>289</v>
      </c>
      <c r="D189" t="s">
        <v>21</v>
      </c>
      <c r="E189">
        <v>49.75</v>
      </c>
      <c r="F189">
        <v>18.633299999999998</v>
      </c>
      <c r="G189" t="s">
        <v>32</v>
      </c>
      <c r="H189" t="s">
        <v>33</v>
      </c>
      <c r="I189" t="s">
        <v>435</v>
      </c>
      <c r="J189" t="s">
        <v>86</v>
      </c>
      <c r="K189">
        <v>10</v>
      </c>
      <c r="L189">
        <v>742</v>
      </c>
      <c r="M189">
        <v>7420</v>
      </c>
      <c r="N189">
        <v>7420</v>
      </c>
      <c r="O189">
        <v>0</v>
      </c>
      <c r="P189" t="s">
        <v>26</v>
      </c>
      <c r="Q189">
        <v>2018</v>
      </c>
      <c r="R189" t="s">
        <v>36</v>
      </c>
      <c r="S189" t="s">
        <v>28</v>
      </c>
      <c r="T189" t="s">
        <v>29</v>
      </c>
    </row>
    <row r="190" spans="1:20" x14ac:dyDescent="0.35">
      <c r="A190" t="s">
        <v>18</v>
      </c>
      <c r="B190" t="s">
        <v>436</v>
      </c>
      <c r="C190" t="s">
        <v>437</v>
      </c>
      <c r="D190" t="s">
        <v>21</v>
      </c>
      <c r="E190">
        <v>52.588299999999997</v>
      </c>
      <c r="F190">
        <v>14.666700000000001</v>
      </c>
      <c r="G190" t="s">
        <v>22</v>
      </c>
      <c r="H190" t="s">
        <v>79</v>
      </c>
      <c r="I190" t="s">
        <v>85</v>
      </c>
      <c r="J190" t="s">
        <v>86</v>
      </c>
      <c r="K190">
        <v>1</v>
      </c>
      <c r="L190">
        <v>249</v>
      </c>
      <c r="M190">
        <v>249</v>
      </c>
      <c r="N190">
        <v>249</v>
      </c>
      <c r="O190">
        <v>0</v>
      </c>
      <c r="P190" t="s">
        <v>26</v>
      </c>
      <c r="Q190">
        <v>2018</v>
      </c>
      <c r="R190" t="s">
        <v>119</v>
      </c>
      <c r="S190" t="s">
        <v>71</v>
      </c>
      <c r="T190" t="s">
        <v>72</v>
      </c>
    </row>
    <row r="191" spans="1:20" x14ac:dyDescent="0.35">
      <c r="A191" t="s">
        <v>18</v>
      </c>
      <c r="B191" t="s">
        <v>208</v>
      </c>
      <c r="C191" t="s">
        <v>209</v>
      </c>
      <c r="D191" t="s">
        <v>21</v>
      </c>
      <c r="E191">
        <v>53.916699999999999</v>
      </c>
      <c r="F191">
        <v>14.25</v>
      </c>
      <c r="G191" t="s">
        <v>22</v>
      </c>
      <c r="H191" t="s">
        <v>79</v>
      </c>
      <c r="I191" t="s">
        <v>217</v>
      </c>
      <c r="J191" t="s">
        <v>35</v>
      </c>
      <c r="K191">
        <v>250</v>
      </c>
      <c r="L191">
        <v>424</v>
      </c>
      <c r="M191">
        <v>106000</v>
      </c>
      <c r="N191">
        <v>106000</v>
      </c>
      <c r="O191">
        <v>0</v>
      </c>
      <c r="P191" t="s">
        <v>26</v>
      </c>
      <c r="Q191">
        <v>2018</v>
      </c>
      <c r="R191" t="s">
        <v>76</v>
      </c>
      <c r="S191" t="s">
        <v>42</v>
      </c>
      <c r="T191" t="s">
        <v>43</v>
      </c>
    </row>
    <row r="192" spans="1:20" x14ac:dyDescent="0.35">
      <c r="A192" t="s">
        <v>18</v>
      </c>
      <c r="B192" t="s">
        <v>160</v>
      </c>
      <c r="C192" t="s">
        <v>161</v>
      </c>
      <c r="D192" t="s">
        <v>21</v>
      </c>
      <c r="E192">
        <v>53.2667</v>
      </c>
      <c r="F192">
        <v>16.466699999999999</v>
      </c>
      <c r="G192" t="s">
        <v>22</v>
      </c>
      <c r="H192" t="s">
        <v>79</v>
      </c>
      <c r="I192" t="s">
        <v>321</v>
      </c>
      <c r="J192" t="s">
        <v>86</v>
      </c>
      <c r="K192">
        <v>10</v>
      </c>
      <c r="L192">
        <v>390</v>
      </c>
      <c r="M192">
        <v>3900</v>
      </c>
      <c r="N192">
        <v>3900</v>
      </c>
      <c r="O192">
        <v>0</v>
      </c>
      <c r="P192" t="s">
        <v>91</v>
      </c>
      <c r="Q192">
        <v>2018</v>
      </c>
      <c r="R192" t="s">
        <v>115</v>
      </c>
      <c r="S192" t="s">
        <v>58</v>
      </c>
      <c r="T192" t="s">
        <v>59</v>
      </c>
    </row>
    <row r="193" spans="1:20" x14ac:dyDescent="0.35">
      <c r="A193" t="s">
        <v>18</v>
      </c>
      <c r="B193" t="s">
        <v>438</v>
      </c>
      <c r="C193" t="s">
        <v>439</v>
      </c>
      <c r="D193" t="s">
        <v>21</v>
      </c>
      <c r="E193">
        <v>50</v>
      </c>
      <c r="F193">
        <v>19.149999999999999</v>
      </c>
      <c r="G193" t="s">
        <v>22</v>
      </c>
      <c r="H193" t="s">
        <v>23</v>
      </c>
      <c r="I193" t="s">
        <v>383</v>
      </c>
      <c r="J193" t="s">
        <v>25</v>
      </c>
      <c r="K193">
        <v>5</v>
      </c>
      <c r="L193">
        <v>334</v>
      </c>
      <c r="M193">
        <v>1670</v>
      </c>
      <c r="N193">
        <v>1670</v>
      </c>
      <c r="O193">
        <v>0</v>
      </c>
      <c r="P193" t="s">
        <v>26</v>
      </c>
      <c r="Q193">
        <v>2018</v>
      </c>
      <c r="R193" t="s">
        <v>41</v>
      </c>
      <c r="S193" t="s">
        <v>42</v>
      </c>
      <c r="T193" t="s">
        <v>43</v>
      </c>
    </row>
    <row r="194" spans="1:20" x14ac:dyDescent="0.35">
      <c r="A194" t="s">
        <v>18</v>
      </c>
      <c r="B194" t="s">
        <v>440</v>
      </c>
      <c r="C194" t="s">
        <v>441</v>
      </c>
      <c r="D194" t="s">
        <v>21</v>
      </c>
      <c r="E194">
        <v>52.533299999999997</v>
      </c>
      <c r="F194">
        <v>17.600000000000001</v>
      </c>
      <c r="G194" t="s">
        <v>32</v>
      </c>
      <c r="H194" t="s">
        <v>33</v>
      </c>
      <c r="I194" t="s">
        <v>442</v>
      </c>
      <c r="J194" t="s">
        <v>86</v>
      </c>
      <c r="K194">
        <v>5</v>
      </c>
      <c r="L194">
        <v>416</v>
      </c>
      <c r="M194">
        <v>2080</v>
      </c>
      <c r="N194">
        <v>2080</v>
      </c>
      <c r="O194">
        <v>0</v>
      </c>
      <c r="P194" t="s">
        <v>26</v>
      </c>
      <c r="Q194">
        <v>2018</v>
      </c>
      <c r="R194" t="s">
        <v>36</v>
      </c>
      <c r="S194" t="s">
        <v>28</v>
      </c>
      <c r="T194" t="s">
        <v>29</v>
      </c>
    </row>
    <row r="195" spans="1:20" x14ac:dyDescent="0.35">
      <c r="A195" t="s">
        <v>18</v>
      </c>
      <c r="B195" t="s">
        <v>180</v>
      </c>
      <c r="C195" t="s">
        <v>181</v>
      </c>
      <c r="D195" t="s">
        <v>21</v>
      </c>
      <c r="E195">
        <v>52.883299999999998</v>
      </c>
      <c r="F195">
        <v>18.783300000000001</v>
      </c>
      <c r="G195" t="s">
        <v>32</v>
      </c>
      <c r="H195" t="s">
        <v>33</v>
      </c>
      <c r="I195" t="s">
        <v>377</v>
      </c>
      <c r="J195" t="s">
        <v>95</v>
      </c>
      <c r="K195">
        <v>100</v>
      </c>
      <c r="L195">
        <v>141</v>
      </c>
      <c r="M195">
        <v>14100</v>
      </c>
      <c r="N195">
        <v>14100</v>
      </c>
      <c r="O195">
        <v>0</v>
      </c>
      <c r="P195" t="s">
        <v>26</v>
      </c>
      <c r="Q195">
        <v>2018</v>
      </c>
      <c r="R195" t="s">
        <v>57</v>
      </c>
      <c r="S195" t="s">
        <v>58</v>
      </c>
      <c r="T195" t="s">
        <v>59</v>
      </c>
    </row>
    <row r="196" spans="1:20" x14ac:dyDescent="0.35">
      <c r="A196" t="s">
        <v>18</v>
      </c>
      <c r="B196" t="s">
        <v>73</v>
      </c>
      <c r="C196" t="s">
        <v>74</v>
      </c>
      <c r="D196" t="s">
        <v>21</v>
      </c>
      <c r="E196">
        <v>50.061399999999999</v>
      </c>
      <c r="F196">
        <v>19.937200000000001</v>
      </c>
      <c r="G196" t="s">
        <v>22</v>
      </c>
      <c r="H196" t="s">
        <v>23</v>
      </c>
      <c r="I196" t="s">
        <v>80</v>
      </c>
      <c r="J196" t="s">
        <v>25</v>
      </c>
      <c r="K196">
        <v>2</v>
      </c>
      <c r="L196">
        <v>762</v>
      </c>
      <c r="M196">
        <v>1524</v>
      </c>
      <c r="N196">
        <v>1524</v>
      </c>
      <c r="O196">
        <v>0</v>
      </c>
      <c r="P196" t="s">
        <v>26</v>
      </c>
      <c r="Q196">
        <v>2018</v>
      </c>
      <c r="R196" t="s">
        <v>119</v>
      </c>
      <c r="S196" t="s">
        <v>71</v>
      </c>
      <c r="T196" t="s">
        <v>72</v>
      </c>
    </row>
    <row r="197" spans="1:20" x14ac:dyDescent="0.35">
      <c r="A197" t="s">
        <v>18</v>
      </c>
      <c r="B197" t="s">
        <v>198</v>
      </c>
      <c r="C197" t="s">
        <v>199</v>
      </c>
      <c r="D197" t="s">
        <v>21</v>
      </c>
      <c r="E197">
        <v>52.058300000000003</v>
      </c>
      <c r="F197">
        <v>19.2</v>
      </c>
      <c r="G197" t="s">
        <v>32</v>
      </c>
      <c r="H197" t="s">
        <v>39</v>
      </c>
      <c r="I197" t="s">
        <v>224</v>
      </c>
      <c r="J197" t="s">
        <v>47</v>
      </c>
      <c r="K197">
        <v>17</v>
      </c>
      <c r="L197">
        <v>722</v>
      </c>
      <c r="M197">
        <v>12274</v>
      </c>
      <c r="N197">
        <v>12274</v>
      </c>
      <c r="O197">
        <v>0</v>
      </c>
      <c r="P197" t="s">
        <v>26</v>
      </c>
      <c r="Q197">
        <v>2018</v>
      </c>
      <c r="R197" t="s">
        <v>41</v>
      </c>
      <c r="S197" t="s">
        <v>42</v>
      </c>
      <c r="T197" t="s">
        <v>43</v>
      </c>
    </row>
    <row r="198" spans="1:20" x14ac:dyDescent="0.35">
      <c r="A198" t="s">
        <v>18</v>
      </c>
      <c r="B198" t="s">
        <v>375</v>
      </c>
      <c r="C198" t="s">
        <v>376</v>
      </c>
      <c r="D198" t="s">
        <v>21</v>
      </c>
      <c r="E198">
        <v>49.666699999999999</v>
      </c>
      <c r="F198">
        <v>18.866700000000002</v>
      </c>
      <c r="G198" t="s">
        <v>32</v>
      </c>
      <c r="H198" t="s">
        <v>39</v>
      </c>
      <c r="I198" t="s">
        <v>443</v>
      </c>
      <c r="J198" t="s">
        <v>134</v>
      </c>
      <c r="K198">
        <v>2</v>
      </c>
      <c r="L198">
        <v>377</v>
      </c>
      <c r="M198">
        <v>754</v>
      </c>
      <c r="N198">
        <v>754</v>
      </c>
      <c r="O198">
        <v>0</v>
      </c>
      <c r="P198" t="s">
        <v>26</v>
      </c>
      <c r="Q198">
        <v>2018</v>
      </c>
      <c r="R198" t="s">
        <v>36</v>
      </c>
      <c r="S198" t="s">
        <v>28</v>
      </c>
      <c r="T198" t="s">
        <v>29</v>
      </c>
    </row>
    <row r="199" spans="1:20" x14ac:dyDescent="0.35">
      <c r="A199" t="s">
        <v>18</v>
      </c>
      <c r="B199" t="s">
        <v>229</v>
      </c>
      <c r="C199" t="s">
        <v>230</v>
      </c>
      <c r="D199" t="s">
        <v>21</v>
      </c>
      <c r="E199">
        <v>54.441899999999997</v>
      </c>
      <c r="F199">
        <v>18.547799999999999</v>
      </c>
      <c r="G199" t="s">
        <v>22</v>
      </c>
      <c r="H199" t="s">
        <v>23</v>
      </c>
      <c r="I199" t="s">
        <v>176</v>
      </c>
      <c r="J199" t="s">
        <v>35</v>
      </c>
      <c r="K199">
        <v>1</v>
      </c>
      <c r="L199">
        <v>458</v>
      </c>
      <c r="M199">
        <v>458</v>
      </c>
      <c r="N199">
        <v>458</v>
      </c>
      <c r="O199">
        <v>0</v>
      </c>
      <c r="P199" t="s">
        <v>26</v>
      </c>
      <c r="Q199">
        <v>2018</v>
      </c>
      <c r="R199" t="s">
        <v>87</v>
      </c>
      <c r="S199" t="s">
        <v>42</v>
      </c>
      <c r="T199" t="s">
        <v>43</v>
      </c>
    </row>
    <row r="200" spans="1:20" x14ac:dyDescent="0.35">
      <c r="A200" t="s">
        <v>18</v>
      </c>
      <c r="B200" t="s">
        <v>444</v>
      </c>
      <c r="C200" t="s">
        <v>445</v>
      </c>
      <c r="D200" t="s">
        <v>21</v>
      </c>
      <c r="E200">
        <v>49.716700000000003</v>
      </c>
      <c r="F200">
        <v>18.816700000000001</v>
      </c>
      <c r="G200" t="s">
        <v>22</v>
      </c>
      <c r="H200" t="s">
        <v>79</v>
      </c>
      <c r="I200" t="s">
        <v>428</v>
      </c>
      <c r="J200" t="s">
        <v>95</v>
      </c>
      <c r="K200">
        <v>1</v>
      </c>
      <c r="L200">
        <v>420</v>
      </c>
      <c r="M200">
        <v>420</v>
      </c>
      <c r="N200">
        <v>420</v>
      </c>
      <c r="O200">
        <v>0</v>
      </c>
      <c r="P200" t="s">
        <v>26</v>
      </c>
      <c r="Q200">
        <v>2018</v>
      </c>
      <c r="R200" t="s">
        <v>119</v>
      </c>
      <c r="S200" t="s">
        <v>71</v>
      </c>
      <c r="T200" t="s">
        <v>72</v>
      </c>
    </row>
    <row r="201" spans="1:20" x14ac:dyDescent="0.35">
      <c r="A201" t="s">
        <v>18</v>
      </c>
      <c r="B201" t="s">
        <v>180</v>
      </c>
      <c r="C201" t="s">
        <v>181</v>
      </c>
      <c r="D201" t="s">
        <v>21</v>
      </c>
      <c r="E201">
        <v>52.883299999999998</v>
      </c>
      <c r="F201">
        <v>18.783300000000001</v>
      </c>
      <c r="G201" t="s">
        <v>32</v>
      </c>
      <c r="H201" t="s">
        <v>33</v>
      </c>
      <c r="I201" t="s">
        <v>446</v>
      </c>
      <c r="J201" t="s">
        <v>86</v>
      </c>
      <c r="K201">
        <v>6</v>
      </c>
      <c r="L201">
        <v>785</v>
      </c>
      <c r="M201">
        <v>4710</v>
      </c>
      <c r="N201">
        <v>4710</v>
      </c>
      <c r="O201">
        <v>0</v>
      </c>
      <c r="P201" t="s">
        <v>26</v>
      </c>
      <c r="Q201">
        <v>2018</v>
      </c>
      <c r="R201" t="s">
        <v>27</v>
      </c>
      <c r="S201" t="s">
        <v>28</v>
      </c>
      <c r="T201" t="s">
        <v>29</v>
      </c>
    </row>
    <row r="202" spans="1:20" x14ac:dyDescent="0.35">
      <c r="A202" t="s">
        <v>18</v>
      </c>
      <c r="B202" t="s">
        <v>447</v>
      </c>
      <c r="C202" t="s">
        <v>448</v>
      </c>
      <c r="D202" t="s">
        <v>21</v>
      </c>
      <c r="E202">
        <v>52.339500000000001</v>
      </c>
      <c r="F202">
        <v>21.195900000000002</v>
      </c>
      <c r="G202" t="s">
        <v>22</v>
      </c>
      <c r="H202" t="s">
        <v>79</v>
      </c>
      <c r="I202" t="s">
        <v>449</v>
      </c>
      <c r="J202" t="s">
        <v>35</v>
      </c>
      <c r="K202">
        <v>3</v>
      </c>
      <c r="L202">
        <v>780</v>
      </c>
      <c r="M202">
        <v>2340</v>
      </c>
      <c r="N202">
        <v>2340</v>
      </c>
      <c r="O202">
        <v>0</v>
      </c>
      <c r="P202" t="s">
        <v>26</v>
      </c>
      <c r="Q202">
        <v>2018</v>
      </c>
      <c r="R202" t="s">
        <v>87</v>
      </c>
      <c r="S202" t="s">
        <v>42</v>
      </c>
      <c r="T202" t="s">
        <v>43</v>
      </c>
    </row>
    <row r="203" spans="1:20" x14ac:dyDescent="0.35">
      <c r="A203" t="s">
        <v>18</v>
      </c>
      <c r="B203" t="s">
        <v>120</v>
      </c>
      <c r="C203" t="s">
        <v>121</v>
      </c>
      <c r="D203" t="s">
        <v>21</v>
      </c>
      <c r="E203">
        <v>53.833300000000001</v>
      </c>
      <c r="F203">
        <v>18.833300000000001</v>
      </c>
      <c r="G203" t="s">
        <v>32</v>
      </c>
      <c r="H203" t="s">
        <v>33</v>
      </c>
      <c r="I203" t="s">
        <v>423</v>
      </c>
      <c r="J203" t="s">
        <v>86</v>
      </c>
      <c r="K203">
        <v>10</v>
      </c>
      <c r="L203">
        <v>343</v>
      </c>
      <c r="M203">
        <v>3430</v>
      </c>
      <c r="N203">
        <v>3430</v>
      </c>
      <c r="O203">
        <v>0</v>
      </c>
      <c r="P203" t="s">
        <v>56</v>
      </c>
      <c r="Q203">
        <v>2018</v>
      </c>
      <c r="R203" t="s">
        <v>36</v>
      </c>
      <c r="S203" t="s">
        <v>28</v>
      </c>
      <c r="T203" t="s">
        <v>29</v>
      </c>
    </row>
    <row r="204" spans="1:20" x14ac:dyDescent="0.35">
      <c r="A204" t="s">
        <v>18</v>
      </c>
      <c r="B204" t="s">
        <v>319</v>
      </c>
      <c r="C204" t="s">
        <v>320</v>
      </c>
      <c r="D204" t="s">
        <v>21</v>
      </c>
      <c r="E204">
        <v>52.2333</v>
      </c>
      <c r="F204">
        <v>19.366700000000002</v>
      </c>
      <c r="G204" t="s">
        <v>32</v>
      </c>
      <c r="H204" t="s">
        <v>33</v>
      </c>
      <c r="I204" t="s">
        <v>450</v>
      </c>
      <c r="J204" t="s">
        <v>25</v>
      </c>
      <c r="K204">
        <v>3</v>
      </c>
      <c r="L204">
        <v>172</v>
      </c>
      <c r="M204">
        <v>516</v>
      </c>
      <c r="N204">
        <v>516</v>
      </c>
      <c r="O204">
        <v>0</v>
      </c>
      <c r="P204" t="s">
        <v>26</v>
      </c>
      <c r="Q204">
        <v>2018</v>
      </c>
      <c r="R204" t="s">
        <v>115</v>
      </c>
      <c r="S204" t="s">
        <v>58</v>
      </c>
      <c r="T204" t="s">
        <v>59</v>
      </c>
    </row>
    <row r="205" spans="1:20" x14ac:dyDescent="0.35">
      <c r="A205" t="s">
        <v>18</v>
      </c>
      <c r="B205" t="s">
        <v>451</v>
      </c>
      <c r="C205" t="s">
        <v>452</v>
      </c>
      <c r="D205" t="s">
        <v>21</v>
      </c>
      <c r="E205">
        <v>52.093800000000002</v>
      </c>
      <c r="F205">
        <v>21.117599999999999</v>
      </c>
      <c r="G205" t="s">
        <v>22</v>
      </c>
      <c r="H205" t="s">
        <v>23</v>
      </c>
      <c r="I205" t="s">
        <v>140</v>
      </c>
      <c r="J205" t="s">
        <v>134</v>
      </c>
      <c r="K205">
        <v>2</v>
      </c>
      <c r="L205">
        <v>511</v>
      </c>
      <c r="M205">
        <v>1022</v>
      </c>
      <c r="N205">
        <v>1022</v>
      </c>
      <c r="O205">
        <v>0</v>
      </c>
      <c r="P205" t="s">
        <v>26</v>
      </c>
      <c r="Q205">
        <v>2018</v>
      </c>
      <c r="R205" t="s">
        <v>41</v>
      </c>
      <c r="S205" t="s">
        <v>42</v>
      </c>
      <c r="T205" t="s">
        <v>43</v>
      </c>
    </row>
    <row r="206" spans="1:20" x14ac:dyDescent="0.35">
      <c r="A206" t="s">
        <v>18</v>
      </c>
      <c r="B206" t="s">
        <v>444</v>
      </c>
      <c r="C206" t="s">
        <v>445</v>
      </c>
      <c r="D206" t="s">
        <v>21</v>
      </c>
      <c r="E206">
        <v>49.716700000000003</v>
      </c>
      <c r="F206">
        <v>18.816700000000001</v>
      </c>
      <c r="G206" t="s">
        <v>22</v>
      </c>
      <c r="H206" t="s">
        <v>79</v>
      </c>
      <c r="I206" t="s">
        <v>453</v>
      </c>
      <c r="J206" t="s">
        <v>35</v>
      </c>
      <c r="K206">
        <v>20</v>
      </c>
      <c r="L206">
        <v>458</v>
      </c>
      <c r="M206">
        <v>9160</v>
      </c>
      <c r="N206">
        <v>9160</v>
      </c>
      <c r="O206">
        <v>0</v>
      </c>
      <c r="P206" t="s">
        <v>26</v>
      </c>
      <c r="Q206">
        <v>2018</v>
      </c>
      <c r="R206" t="s">
        <v>27</v>
      </c>
      <c r="S206" t="s">
        <v>28</v>
      </c>
      <c r="T206" t="s">
        <v>29</v>
      </c>
    </row>
    <row r="207" spans="1:20" x14ac:dyDescent="0.35">
      <c r="A207" t="s">
        <v>18</v>
      </c>
      <c r="B207" t="s">
        <v>293</v>
      </c>
      <c r="C207" t="s">
        <v>294</v>
      </c>
      <c r="D207" t="s">
        <v>21</v>
      </c>
      <c r="E207">
        <v>53.349200000000003</v>
      </c>
      <c r="F207">
        <v>18.426100000000002</v>
      </c>
      <c r="G207" t="s">
        <v>22</v>
      </c>
      <c r="H207" t="s">
        <v>23</v>
      </c>
      <c r="I207" t="s">
        <v>454</v>
      </c>
      <c r="J207" t="s">
        <v>95</v>
      </c>
      <c r="K207">
        <v>5</v>
      </c>
      <c r="L207">
        <v>438</v>
      </c>
      <c r="M207">
        <v>2190</v>
      </c>
      <c r="N207">
        <v>2190</v>
      </c>
      <c r="O207">
        <v>0</v>
      </c>
      <c r="P207" t="s">
        <v>26</v>
      </c>
      <c r="Q207">
        <v>2018</v>
      </c>
      <c r="R207" t="s">
        <v>27</v>
      </c>
      <c r="S207" t="s">
        <v>28</v>
      </c>
      <c r="T207" t="s">
        <v>29</v>
      </c>
    </row>
    <row r="208" spans="1:20" x14ac:dyDescent="0.35">
      <c r="A208" t="s">
        <v>18</v>
      </c>
      <c r="B208" t="s">
        <v>455</v>
      </c>
      <c r="C208" t="s">
        <v>456</v>
      </c>
      <c r="D208" t="s">
        <v>21</v>
      </c>
      <c r="E208">
        <v>50.898600000000002</v>
      </c>
      <c r="F208">
        <v>16.744399999999999</v>
      </c>
      <c r="G208" t="s">
        <v>22</v>
      </c>
      <c r="H208" t="s">
        <v>23</v>
      </c>
      <c r="I208" t="s">
        <v>457</v>
      </c>
      <c r="J208" t="s">
        <v>134</v>
      </c>
      <c r="K208">
        <v>10</v>
      </c>
      <c r="L208">
        <v>24</v>
      </c>
      <c r="M208">
        <v>240</v>
      </c>
      <c r="N208">
        <v>240</v>
      </c>
      <c r="O208">
        <v>0</v>
      </c>
      <c r="P208" t="s">
        <v>26</v>
      </c>
      <c r="Q208">
        <v>2018</v>
      </c>
      <c r="R208" t="s">
        <v>57</v>
      </c>
      <c r="S208" t="s">
        <v>58</v>
      </c>
      <c r="T208" t="s">
        <v>59</v>
      </c>
    </row>
    <row r="209" spans="1:20" x14ac:dyDescent="0.35">
      <c r="A209" t="s">
        <v>18</v>
      </c>
      <c r="B209" t="s">
        <v>458</v>
      </c>
      <c r="C209" t="s">
        <v>459</v>
      </c>
      <c r="D209" t="s">
        <v>21</v>
      </c>
      <c r="E209">
        <v>51.273000000000003</v>
      </c>
      <c r="F209">
        <v>16.708100000000002</v>
      </c>
      <c r="G209" t="s">
        <v>22</v>
      </c>
      <c r="H209" t="s">
        <v>23</v>
      </c>
      <c r="I209" t="s">
        <v>420</v>
      </c>
      <c r="J209" t="s">
        <v>134</v>
      </c>
      <c r="K209">
        <v>2</v>
      </c>
      <c r="L209">
        <v>73</v>
      </c>
      <c r="M209">
        <v>146</v>
      </c>
      <c r="N209">
        <v>146</v>
      </c>
      <c r="O209">
        <v>0</v>
      </c>
      <c r="P209" t="s">
        <v>26</v>
      </c>
      <c r="Q209">
        <v>2018</v>
      </c>
      <c r="R209" t="s">
        <v>36</v>
      </c>
      <c r="S209" t="s">
        <v>28</v>
      </c>
      <c r="T209" t="s">
        <v>29</v>
      </c>
    </row>
    <row r="210" spans="1:20" x14ac:dyDescent="0.35">
      <c r="A210" t="s">
        <v>18</v>
      </c>
      <c r="B210" t="s">
        <v>314</v>
      </c>
      <c r="C210" t="s">
        <v>315</v>
      </c>
      <c r="D210" t="s">
        <v>21</v>
      </c>
      <c r="E210">
        <v>50.016199999999998</v>
      </c>
      <c r="F210">
        <v>22.677800000000001</v>
      </c>
      <c r="G210" t="s">
        <v>22</v>
      </c>
      <c r="H210" t="s">
        <v>79</v>
      </c>
      <c r="I210" t="s">
        <v>460</v>
      </c>
      <c r="J210" t="s">
        <v>25</v>
      </c>
      <c r="K210">
        <v>4</v>
      </c>
      <c r="L210">
        <v>304</v>
      </c>
      <c r="M210">
        <v>1216</v>
      </c>
      <c r="N210">
        <v>1216</v>
      </c>
      <c r="O210">
        <v>0</v>
      </c>
      <c r="P210" t="s">
        <v>26</v>
      </c>
      <c r="Q210">
        <v>2018</v>
      </c>
      <c r="R210" t="s">
        <v>41</v>
      </c>
      <c r="S210" t="s">
        <v>42</v>
      </c>
      <c r="T210" t="s">
        <v>43</v>
      </c>
    </row>
    <row r="211" spans="1:20" x14ac:dyDescent="0.35">
      <c r="A211" t="s">
        <v>18</v>
      </c>
      <c r="B211" t="s">
        <v>280</v>
      </c>
      <c r="C211" t="s">
        <v>281</v>
      </c>
      <c r="D211" t="s">
        <v>21</v>
      </c>
      <c r="E211">
        <v>52.253100000000003</v>
      </c>
      <c r="F211">
        <v>15.9178</v>
      </c>
      <c r="G211" t="s">
        <v>22</v>
      </c>
      <c r="H211" t="s">
        <v>23</v>
      </c>
      <c r="I211" t="s">
        <v>210</v>
      </c>
      <c r="J211" t="s">
        <v>47</v>
      </c>
      <c r="K211">
        <v>4</v>
      </c>
      <c r="L211">
        <v>778</v>
      </c>
      <c r="M211">
        <v>3112</v>
      </c>
      <c r="N211">
        <v>3112</v>
      </c>
      <c r="O211">
        <v>0</v>
      </c>
      <c r="P211" t="s">
        <v>26</v>
      </c>
      <c r="Q211">
        <v>2018</v>
      </c>
      <c r="R211" t="s">
        <v>82</v>
      </c>
      <c r="S211" t="s">
        <v>58</v>
      </c>
      <c r="T211" t="s">
        <v>59</v>
      </c>
    </row>
    <row r="212" spans="1:20" x14ac:dyDescent="0.35">
      <c r="A212" t="s">
        <v>18</v>
      </c>
      <c r="B212" t="s">
        <v>461</v>
      </c>
      <c r="C212" t="s">
        <v>462</v>
      </c>
      <c r="D212" t="s">
        <v>21</v>
      </c>
      <c r="E212">
        <v>54.518900000000002</v>
      </c>
      <c r="F212">
        <v>18.5319</v>
      </c>
      <c r="G212" t="s">
        <v>32</v>
      </c>
      <c r="H212" t="s">
        <v>33</v>
      </c>
      <c r="I212" t="s">
        <v>242</v>
      </c>
      <c r="J212" t="s">
        <v>47</v>
      </c>
      <c r="K212">
        <v>1</v>
      </c>
      <c r="L212">
        <v>179</v>
      </c>
      <c r="M212">
        <v>179</v>
      </c>
      <c r="N212">
        <v>179</v>
      </c>
      <c r="O212">
        <v>0</v>
      </c>
      <c r="P212" t="s">
        <v>26</v>
      </c>
      <c r="Q212">
        <v>2018</v>
      </c>
      <c r="R212" t="s">
        <v>36</v>
      </c>
      <c r="S212" t="s">
        <v>28</v>
      </c>
      <c r="T212" t="s">
        <v>29</v>
      </c>
    </row>
    <row r="213" spans="1:20" x14ac:dyDescent="0.35">
      <c r="A213" t="s">
        <v>18</v>
      </c>
      <c r="B213" t="s">
        <v>347</v>
      </c>
      <c r="C213" t="s">
        <v>348</v>
      </c>
      <c r="D213" t="s">
        <v>21</v>
      </c>
      <c r="E213">
        <v>52.65</v>
      </c>
      <c r="F213">
        <v>19.05</v>
      </c>
      <c r="G213" t="s">
        <v>22</v>
      </c>
      <c r="H213" t="s">
        <v>23</v>
      </c>
      <c r="I213" t="s">
        <v>62</v>
      </c>
      <c r="J213" t="s">
        <v>47</v>
      </c>
      <c r="K213">
        <v>1</v>
      </c>
      <c r="L213">
        <v>536</v>
      </c>
      <c r="M213">
        <v>536</v>
      </c>
      <c r="N213">
        <v>536</v>
      </c>
      <c r="O213">
        <v>0</v>
      </c>
      <c r="P213" t="s">
        <v>26</v>
      </c>
      <c r="Q213">
        <v>2018</v>
      </c>
      <c r="R213" t="s">
        <v>57</v>
      </c>
      <c r="S213" t="s">
        <v>58</v>
      </c>
      <c r="T213" t="s">
        <v>59</v>
      </c>
    </row>
    <row r="214" spans="1:20" x14ac:dyDescent="0.35">
      <c r="A214" t="s">
        <v>18</v>
      </c>
      <c r="B214" t="s">
        <v>283</v>
      </c>
      <c r="C214" t="s">
        <v>284</v>
      </c>
      <c r="D214" t="s">
        <v>21</v>
      </c>
      <c r="E214">
        <v>54.383299999999998</v>
      </c>
      <c r="F214">
        <v>19.833300000000001</v>
      </c>
      <c r="G214" t="s">
        <v>32</v>
      </c>
      <c r="H214" t="s">
        <v>33</v>
      </c>
      <c r="I214" t="s">
        <v>210</v>
      </c>
      <c r="J214" t="s">
        <v>47</v>
      </c>
      <c r="K214">
        <v>5</v>
      </c>
      <c r="L214">
        <v>778</v>
      </c>
      <c r="M214">
        <v>3890</v>
      </c>
      <c r="N214">
        <v>3890</v>
      </c>
      <c r="O214">
        <v>0</v>
      </c>
      <c r="P214" t="s">
        <v>26</v>
      </c>
      <c r="Q214">
        <v>2018</v>
      </c>
      <c r="R214" t="s">
        <v>115</v>
      </c>
      <c r="S214" t="s">
        <v>58</v>
      </c>
      <c r="T214" t="s">
        <v>59</v>
      </c>
    </row>
    <row r="215" spans="1:20" x14ac:dyDescent="0.35">
      <c r="A215" t="s">
        <v>18</v>
      </c>
      <c r="B215" t="s">
        <v>463</v>
      </c>
      <c r="C215" t="s">
        <v>464</v>
      </c>
      <c r="D215" t="s">
        <v>21</v>
      </c>
      <c r="E215">
        <v>50.433300000000003</v>
      </c>
      <c r="F215">
        <v>21.283300000000001</v>
      </c>
      <c r="G215" t="s">
        <v>32</v>
      </c>
      <c r="H215" t="s">
        <v>39</v>
      </c>
      <c r="I215" t="s">
        <v>344</v>
      </c>
      <c r="J215" t="s">
        <v>35</v>
      </c>
      <c r="K215">
        <v>10</v>
      </c>
      <c r="L215">
        <v>611</v>
      </c>
      <c r="M215">
        <v>6110</v>
      </c>
      <c r="N215">
        <v>6110</v>
      </c>
      <c r="O215">
        <v>0</v>
      </c>
      <c r="P215" t="s">
        <v>465</v>
      </c>
      <c r="Q215">
        <v>2018</v>
      </c>
      <c r="R215" t="s">
        <v>52</v>
      </c>
      <c r="S215" t="s">
        <v>28</v>
      </c>
      <c r="T215" t="s">
        <v>29</v>
      </c>
    </row>
    <row r="216" spans="1:20" x14ac:dyDescent="0.35">
      <c r="A216" t="s">
        <v>18</v>
      </c>
      <c r="B216" t="s">
        <v>379</v>
      </c>
      <c r="C216" t="s">
        <v>380</v>
      </c>
      <c r="D216" t="s">
        <v>21</v>
      </c>
      <c r="E216">
        <v>49.9833</v>
      </c>
      <c r="F216">
        <v>20.433299999999999</v>
      </c>
      <c r="G216" t="s">
        <v>32</v>
      </c>
      <c r="H216" t="s">
        <v>39</v>
      </c>
      <c r="I216" t="s">
        <v>257</v>
      </c>
      <c r="J216" t="s">
        <v>95</v>
      </c>
      <c r="K216">
        <v>1</v>
      </c>
      <c r="L216">
        <v>628</v>
      </c>
      <c r="M216">
        <v>628</v>
      </c>
      <c r="N216">
        <v>628</v>
      </c>
      <c r="O216">
        <v>0</v>
      </c>
      <c r="P216" t="s">
        <v>26</v>
      </c>
      <c r="Q216">
        <v>2018</v>
      </c>
      <c r="R216" t="s">
        <v>27</v>
      </c>
      <c r="S216" t="s">
        <v>28</v>
      </c>
      <c r="T216" t="s">
        <v>29</v>
      </c>
    </row>
    <row r="217" spans="1:20" x14ac:dyDescent="0.35">
      <c r="A217" t="s">
        <v>18</v>
      </c>
      <c r="B217" t="s">
        <v>280</v>
      </c>
      <c r="C217" t="s">
        <v>281</v>
      </c>
      <c r="D217" t="s">
        <v>21</v>
      </c>
      <c r="E217">
        <v>52.253100000000003</v>
      </c>
      <c r="F217">
        <v>15.9178</v>
      </c>
      <c r="G217" t="s">
        <v>22</v>
      </c>
      <c r="H217" t="s">
        <v>23</v>
      </c>
      <c r="I217" t="s">
        <v>466</v>
      </c>
      <c r="J217" t="s">
        <v>95</v>
      </c>
      <c r="K217">
        <v>4</v>
      </c>
      <c r="L217">
        <v>162</v>
      </c>
      <c r="M217">
        <v>648</v>
      </c>
      <c r="N217">
        <v>648</v>
      </c>
      <c r="O217">
        <v>0</v>
      </c>
      <c r="P217" t="s">
        <v>26</v>
      </c>
      <c r="Q217">
        <v>2018</v>
      </c>
      <c r="R217" t="s">
        <v>82</v>
      </c>
      <c r="S217" t="s">
        <v>58</v>
      </c>
      <c r="T217" t="s">
        <v>59</v>
      </c>
    </row>
    <row r="218" spans="1:20" x14ac:dyDescent="0.35">
      <c r="A218" t="s">
        <v>18</v>
      </c>
      <c r="B218" t="s">
        <v>160</v>
      </c>
      <c r="C218" t="s">
        <v>161</v>
      </c>
      <c r="D218" t="s">
        <v>21</v>
      </c>
      <c r="E218">
        <v>53.2667</v>
      </c>
      <c r="F218">
        <v>16.466699999999999</v>
      </c>
      <c r="G218" t="s">
        <v>22</v>
      </c>
      <c r="H218" t="s">
        <v>79</v>
      </c>
      <c r="I218" t="s">
        <v>467</v>
      </c>
      <c r="J218" t="s">
        <v>95</v>
      </c>
      <c r="K218">
        <v>6</v>
      </c>
      <c r="L218">
        <v>595</v>
      </c>
      <c r="M218">
        <v>3570</v>
      </c>
      <c r="N218">
        <v>3570</v>
      </c>
      <c r="O218">
        <v>0</v>
      </c>
      <c r="P218" t="s">
        <v>81</v>
      </c>
      <c r="Q218">
        <v>2018</v>
      </c>
      <c r="R218" t="s">
        <v>63</v>
      </c>
      <c r="S218" t="s">
        <v>28</v>
      </c>
      <c r="T218" t="s">
        <v>29</v>
      </c>
    </row>
    <row r="219" spans="1:20" x14ac:dyDescent="0.35">
      <c r="A219" t="s">
        <v>18</v>
      </c>
      <c r="B219" t="s">
        <v>468</v>
      </c>
      <c r="C219" t="s">
        <v>469</v>
      </c>
      <c r="D219" t="s">
        <v>21</v>
      </c>
      <c r="E219">
        <v>53.313699999999997</v>
      </c>
      <c r="F219">
        <v>17.937000000000001</v>
      </c>
      <c r="G219" t="s">
        <v>22</v>
      </c>
      <c r="H219" t="s">
        <v>23</v>
      </c>
      <c r="I219" t="s">
        <v>470</v>
      </c>
      <c r="J219" t="s">
        <v>86</v>
      </c>
      <c r="K219">
        <v>10</v>
      </c>
      <c r="L219">
        <v>634</v>
      </c>
      <c r="M219">
        <v>6340</v>
      </c>
      <c r="N219">
        <v>6340</v>
      </c>
      <c r="O219">
        <v>0</v>
      </c>
      <c r="P219" t="s">
        <v>26</v>
      </c>
      <c r="Q219">
        <v>2018</v>
      </c>
      <c r="R219" t="s">
        <v>87</v>
      </c>
      <c r="S219" t="s">
        <v>42</v>
      </c>
      <c r="T219" t="s">
        <v>43</v>
      </c>
    </row>
    <row r="220" spans="1:20" x14ac:dyDescent="0.35">
      <c r="A220" t="s">
        <v>18</v>
      </c>
      <c r="B220" t="s">
        <v>471</v>
      </c>
      <c r="C220" t="s">
        <v>472</v>
      </c>
      <c r="D220" t="s">
        <v>21</v>
      </c>
      <c r="E220">
        <v>53.0167</v>
      </c>
      <c r="F220">
        <v>18.616700000000002</v>
      </c>
      <c r="G220" t="s">
        <v>32</v>
      </c>
      <c r="H220" t="s">
        <v>33</v>
      </c>
      <c r="I220" t="s">
        <v>473</v>
      </c>
      <c r="J220" t="s">
        <v>134</v>
      </c>
      <c r="K220">
        <v>12</v>
      </c>
      <c r="L220">
        <v>474</v>
      </c>
      <c r="M220">
        <v>5688</v>
      </c>
      <c r="N220">
        <v>5688</v>
      </c>
      <c r="O220">
        <v>0</v>
      </c>
      <c r="P220" t="s">
        <v>26</v>
      </c>
      <c r="Q220">
        <v>2018</v>
      </c>
      <c r="R220" t="s">
        <v>70</v>
      </c>
      <c r="S220" t="s">
        <v>71</v>
      </c>
      <c r="T220" t="s">
        <v>72</v>
      </c>
    </row>
    <row r="221" spans="1:20" x14ac:dyDescent="0.35">
      <c r="A221" t="s">
        <v>18</v>
      </c>
      <c r="B221" t="s">
        <v>474</v>
      </c>
      <c r="C221" t="s">
        <v>475</v>
      </c>
      <c r="D221" t="s">
        <v>21</v>
      </c>
      <c r="E221">
        <v>51.939700000000002</v>
      </c>
      <c r="F221">
        <v>15.505000000000001</v>
      </c>
      <c r="G221" t="s">
        <v>22</v>
      </c>
      <c r="H221" t="s">
        <v>79</v>
      </c>
      <c r="I221" t="s">
        <v>476</v>
      </c>
      <c r="J221" t="s">
        <v>35</v>
      </c>
      <c r="K221">
        <v>20</v>
      </c>
      <c r="L221">
        <v>33</v>
      </c>
      <c r="M221">
        <v>660</v>
      </c>
      <c r="N221">
        <v>660</v>
      </c>
      <c r="O221">
        <v>0</v>
      </c>
      <c r="P221" t="s">
        <v>465</v>
      </c>
      <c r="Q221">
        <v>2018</v>
      </c>
      <c r="R221" t="s">
        <v>76</v>
      </c>
      <c r="S221" t="s">
        <v>42</v>
      </c>
      <c r="T221" t="s">
        <v>43</v>
      </c>
    </row>
    <row r="222" spans="1:20" x14ac:dyDescent="0.35">
      <c r="A222" t="s">
        <v>18</v>
      </c>
      <c r="B222" t="s">
        <v>160</v>
      </c>
      <c r="C222" t="s">
        <v>161</v>
      </c>
      <c r="D222" t="s">
        <v>21</v>
      </c>
      <c r="E222">
        <v>53.2667</v>
      </c>
      <c r="F222">
        <v>16.466699999999999</v>
      </c>
      <c r="G222" t="s">
        <v>22</v>
      </c>
      <c r="H222" t="s">
        <v>79</v>
      </c>
      <c r="I222" t="s">
        <v>285</v>
      </c>
      <c r="J222" t="s">
        <v>95</v>
      </c>
      <c r="K222">
        <v>6</v>
      </c>
      <c r="L222">
        <v>385</v>
      </c>
      <c r="M222">
        <v>2310</v>
      </c>
      <c r="N222">
        <v>2310</v>
      </c>
      <c r="O222">
        <v>0</v>
      </c>
      <c r="P222" t="s">
        <v>26</v>
      </c>
      <c r="Q222">
        <v>2018</v>
      </c>
      <c r="R222" t="s">
        <v>52</v>
      </c>
      <c r="S222" t="s">
        <v>28</v>
      </c>
      <c r="T222" t="s">
        <v>29</v>
      </c>
    </row>
    <row r="223" spans="1:20" x14ac:dyDescent="0.35">
      <c r="A223" t="s">
        <v>18</v>
      </c>
      <c r="B223" t="s">
        <v>447</v>
      </c>
      <c r="C223" t="s">
        <v>448</v>
      </c>
      <c r="D223" t="s">
        <v>21</v>
      </c>
      <c r="E223">
        <v>52.339500000000001</v>
      </c>
      <c r="F223">
        <v>21.195900000000002</v>
      </c>
      <c r="G223" t="s">
        <v>22</v>
      </c>
      <c r="H223" t="s">
        <v>79</v>
      </c>
      <c r="I223" t="s">
        <v>477</v>
      </c>
      <c r="J223" t="s">
        <v>47</v>
      </c>
      <c r="K223">
        <v>2</v>
      </c>
      <c r="L223">
        <v>578</v>
      </c>
      <c r="M223">
        <v>1156</v>
      </c>
      <c r="N223">
        <v>1156</v>
      </c>
      <c r="O223">
        <v>0</v>
      </c>
      <c r="P223" t="s">
        <v>26</v>
      </c>
      <c r="Q223">
        <v>2018</v>
      </c>
      <c r="R223" t="s">
        <v>119</v>
      </c>
      <c r="S223" t="s">
        <v>71</v>
      </c>
      <c r="T223" t="s">
        <v>72</v>
      </c>
    </row>
    <row r="224" spans="1:20" x14ac:dyDescent="0.35">
      <c r="A224" t="s">
        <v>18</v>
      </c>
      <c r="B224" t="s">
        <v>415</v>
      </c>
      <c r="C224" t="s">
        <v>416</v>
      </c>
      <c r="D224" t="s">
        <v>21</v>
      </c>
      <c r="E224">
        <v>51.787700000000001</v>
      </c>
      <c r="F224">
        <v>14.9724</v>
      </c>
      <c r="G224" t="s">
        <v>22</v>
      </c>
      <c r="H224" t="s">
        <v>23</v>
      </c>
      <c r="I224" t="s">
        <v>478</v>
      </c>
      <c r="J224" t="s">
        <v>47</v>
      </c>
      <c r="K224">
        <v>2</v>
      </c>
      <c r="L224">
        <v>621</v>
      </c>
      <c r="M224">
        <v>1242</v>
      </c>
      <c r="N224">
        <v>1242</v>
      </c>
      <c r="O224">
        <v>0</v>
      </c>
      <c r="P224" t="s">
        <v>26</v>
      </c>
      <c r="Q224">
        <v>2018</v>
      </c>
      <c r="R224" t="s">
        <v>41</v>
      </c>
      <c r="S224" t="s">
        <v>42</v>
      </c>
      <c r="T224" t="s">
        <v>43</v>
      </c>
    </row>
    <row r="225" spans="1:20" x14ac:dyDescent="0.35">
      <c r="A225" t="s">
        <v>18</v>
      </c>
      <c r="B225" t="s">
        <v>160</v>
      </c>
      <c r="C225" t="s">
        <v>161</v>
      </c>
      <c r="D225" t="s">
        <v>21</v>
      </c>
      <c r="E225">
        <v>53.2667</v>
      </c>
      <c r="F225">
        <v>16.466699999999999</v>
      </c>
      <c r="G225" t="s">
        <v>22</v>
      </c>
      <c r="H225" t="s">
        <v>79</v>
      </c>
      <c r="I225" t="s">
        <v>479</v>
      </c>
      <c r="J225" t="s">
        <v>134</v>
      </c>
      <c r="K225">
        <v>4</v>
      </c>
      <c r="L225">
        <v>409</v>
      </c>
      <c r="M225">
        <v>1636</v>
      </c>
      <c r="N225">
        <v>1636</v>
      </c>
      <c r="O225">
        <v>0</v>
      </c>
      <c r="P225" t="s">
        <v>343</v>
      </c>
      <c r="Q225">
        <v>2018</v>
      </c>
      <c r="R225" t="s">
        <v>52</v>
      </c>
      <c r="S225" t="s">
        <v>28</v>
      </c>
      <c r="T225" t="s">
        <v>29</v>
      </c>
    </row>
    <row r="226" spans="1:20" x14ac:dyDescent="0.35">
      <c r="A226" t="s">
        <v>18</v>
      </c>
      <c r="B226" t="s">
        <v>249</v>
      </c>
      <c r="C226" t="s">
        <v>250</v>
      </c>
      <c r="D226" t="s">
        <v>21</v>
      </c>
      <c r="E226">
        <v>52.124299999999998</v>
      </c>
      <c r="F226">
        <v>20.665400000000002</v>
      </c>
      <c r="G226" t="s">
        <v>32</v>
      </c>
      <c r="H226" t="s">
        <v>33</v>
      </c>
      <c r="I226" t="s">
        <v>480</v>
      </c>
      <c r="J226" t="s">
        <v>35</v>
      </c>
      <c r="K226">
        <v>24</v>
      </c>
      <c r="L226">
        <v>688</v>
      </c>
      <c r="M226">
        <v>16512</v>
      </c>
      <c r="N226">
        <v>16512</v>
      </c>
      <c r="O226">
        <v>0</v>
      </c>
      <c r="P226" t="s">
        <v>26</v>
      </c>
      <c r="Q226">
        <v>2018</v>
      </c>
      <c r="R226" t="s">
        <v>36</v>
      </c>
      <c r="S226" t="s">
        <v>28</v>
      </c>
      <c r="T226" t="s">
        <v>29</v>
      </c>
    </row>
    <row r="227" spans="1:20" x14ac:dyDescent="0.35">
      <c r="A227" t="s">
        <v>18</v>
      </c>
      <c r="B227" t="s">
        <v>481</v>
      </c>
      <c r="C227" t="s">
        <v>482</v>
      </c>
      <c r="D227" t="s">
        <v>21</v>
      </c>
      <c r="E227">
        <v>51.416600000000003</v>
      </c>
      <c r="F227">
        <v>21.9694</v>
      </c>
      <c r="G227" t="s">
        <v>22</v>
      </c>
      <c r="H227" t="s">
        <v>79</v>
      </c>
      <c r="I227" t="s">
        <v>265</v>
      </c>
      <c r="J227" t="s">
        <v>134</v>
      </c>
      <c r="K227">
        <v>2</v>
      </c>
      <c r="L227">
        <v>713</v>
      </c>
      <c r="M227">
        <v>1426</v>
      </c>
      <c r="N227">
        <v>1426</v>
      </c>
      <c r="O227">
        <v>0</v>
      </c>
      <c r="P227" t="s">
        <v>382</v>
      </c>
      <c r="Q227">
        <v>2018</v>
      </c>
      <c r="R227" t="s">
        <v>87</v>
      </c>
      <c r="S227" t="s">
        <v>42</v>
      </c>
      <c r="T227" t="s">
        <v>43</v>
      </c>
    </row>
    <row r="228" spans="1:20" x14ac:dyDescent="0.35">
      <c r="A228" t="s">
        <v>18</v>
      </c>
      <c r="B228" t="s">
        <v>483</v>
      </c>
      <c r="C228" t="s">
        <v>484</v>
      </c>
      <c r="D228" t="s">
        <v>21</v>
      </c>
      <c r="E228">
        <v>54.006999999999998</v>
      </c>
      <c r="F228">
        <v>15.987500000000001</v>
      </c>
      <c r="G228" t="s">
        <v>22</v>
      </c>
      <c r="H228" t="s">
        <v>23</v>
      </c>
      <c r="I228" t="s">
        <v>485</v>
      </c>
      <c r="J228" t="s">
        <v>25</v>
      </c>
      <c r="K228">
        <v>4</v>
      </c>
      <c r="L228">
        <v>404</v>
      </c>
      <c r="M228">
        <v>1616</v>
      </c>
      <c r="N228">
        <v>1616</v>
      </c>
      <c r="O228">
        <v>0</v>
      </c>
      <c r="P228" t="s">
        <v>26</v>
      </c>
      <c r="Q228">
        <v>2018</v>
      </c>
      <c r="R228" t="s">
        <v>115</v>
      </c>
      <c r="S228" t="s">
        <v>58</v>
      </c>
      <c r="T228" t="s">
        <v>59</v>
      </c>
    </row>
    <row r="229" spans="1:20" x14ac:dyDescent="0.35">
      <c r="A229" t="s">
        <v>18</v>
      </c>
      <c r="B229" t="s">
        <v>163</v>
      </c>
      <c r="C229" t="s">
        <v>164</v>
      </c>
      <c r="D229" t="s">
        <v>264</v>
      </c>
      <c r="E229">
        <v>49.882100000000001</v>
      </c>
      <c r="F229">
        <v>19.223299999999998</v>
      </c>
      <c r="G229" t="s">
        <v>32</v>
      </c>
      <c r="H229" t="s">
        <v>39</v>
      </c>
      <c r="I229" t="s">
        <v>395</v>
      </c>
      <c r="J229" t="s">
        <v>35</v>
      </c>
      <c r="K229">
        <v>1</v>
      </c>
      <c r="L229">
        <v>400</v>
      </c>
      <c r="M229">
        <v>400</v>
      </c>
      <c r="N229">
        <v>400</v>
      </c>
      <c r="O229">
        <v>0</v>
      </c>
      <c r="P229" t="s">
        <v>144</v>
      </c>
      <c r="Q229">
        <v>2018</v>
      </c>
      <c r="R229" t="s">
        <v>87</v>
      </c>
      <c r="S229" t="s">
        <v>42</v>
      </c>
      <c r="T229" t="s">
        <v>43</v>
      </c>
    </row>
    <row r="230" spans="1:20" x14ac:dyDescent="0.35">
      <c r="A230" t="s">
        <v>18</v>
      </c>
      <c r="B230" t="s">
        <v>163</v>
      </c>
      <c r="C230" t="s">
        <v>164</v>
      </c>
      <c r="D230" t="s">
        <v>21</v>
      </c>
      <c r="E230">
        <v>49.882100000000001</v>
      </c>
      <c r="F230">
        <v>19.223299999999998</v>
      </c>
      <c r="G230" t="s">
        <v>32</v>
      </c>
      <c r="H230" t="s">
        <v>39</v>
      </c>
      <c r="I230" t="s">
        <v>486</v>
      </c>
      <c r="J230" t="s">
        <v>95</v>
      </c>
      <c r="K230">
        <v>2</v>
      </c>
      <c r="L230">
        <v>585</v>
      </c>
      <c r="M230">
        <v>1170</v>
      </c>
      <c r="N230">
        <v>1170</v>
      </c>
      <c r="O230">
        <v>0</v>
      </c>
      <c r="P230" t="s">
        <v>26</v>
      </c>
      <c r="Q230">
        <v>2018</v>
      </c>
      <c r="R230" t="s">
        <v>41</v>
      </c>
      <c r="S230" t="s">
        <v>42</v>
      </c>
      <c r="T230" t="s">
        <v>43</v>
      </c>
    </row>
    <row r="231" spans="1:20" x14ac:dyDescent="0.35">
      <c r="A231" t="s">
        <v>18</v>
      </c>
      <c r="B231" t="s">
        <v>286</v>
      </c>
      <c r="C231" t="s">
        <v>287</v>
      </c>
      <c r="D231" t="s">
        <v>21</v>
      </c>
      <c r="E231">
        <v>50.297600000000003</v>
      </c>
      <c r="F231">
        <v>18.676600000000001</v>
      </c>
      <c r="G231" t="s">
        <v>32</v>
      </c>
      <c r="H231" t="s">
        <v>33</v>
      </c>
      <c r="I231" t="s">
        <v>40</v>
      </c>
      <c r="J231" t="s">
        <v>35</v>
      </c>
      <c r="K231">
        <v>5</v>
      </c>
      <c r="L231">
        <v>66</v>
      </c>
      <c r="M231">
        <v>330</v>
      </c>
      <c r="N231">
        <v>330</v>
      </c>
      <c r="O231">
        <v>0</v>
      </c>
      <c r="P231" t="s">
        <v>26</v>
      </c>
      <c r="Q231">
        <v>2018</v>
      </c>
      <c r="R231" t="s">
        <v>36</v>
      </c>
      <c r="S231" t="s">
        <v>28</v>
      </c>
      <c r="T231" t="s">
        <v>29</v>
      </c>
    </row>
    <row r="232" spans="1:20" x14ac:dyDescent="0.35">
      <c r="A232" t="s">
        <v>18</v>
      </c>
      <c r="B232" t="s">
        <v>487</v>
      </c>
      <c r="C232" t="s">
        <v>488</v>
      </c>
      <c r="D232" t="s">
        <v>21</v>
      </c>
      <c r="E232">
        <v>50.283299999999997</v>
      </c>
      <c r="F232">
        <v>21.433299999999999</v>
      </c>
      <c r="G232" t="s">
        <v>22</v>
      </c>
      <c r="H232" t="s">
        <v>23</v>
      </c>
      <c r="I232" t="s">
        <v>435</v>
      </c>
      <c r="J232" t="s">
        <v>86</v>
      </c>
      <c r="K232">
        <v>10</v>
      </c>
      <c r="L232">
        <v>742</v>
      </c>
      <c r="M232">
        <v>7420</v>
      </c>
      <c r="N232">
        <v>7420</v>
      </c>
      <c r="O232">
        <v>0</v>
      </c>
      <c r="P232" t="s">
        <v>26</v>
      </c>
      <c r="Q232">
        <v>2018</v>
      </c>
      <c r="R232" t="s">
        <v>119</v>
      </c>
      <c r="S232" t="s">
        <v>71</v>
      </c>
      <c r="T232" t="s">
        <v>72</v>
      </c>
    </row>
    <row r="233" spans="1:20" x14ac:dyDescent="0.35">
      <c r="A233" t="s">
        <v>18</v>
      </c>
      <c r="B233" t="s">
        <v>337</v>
      </c>
      <c r="C233" t="s">
        <v>338</v>
      </c>
      <c r="D233" t="s">
        <v>21</v>
      </c>
      <c r="E233">
        <v>51.152799999999999</v>
      </c>
      <c r="F233">
        <v>15</v>
      </c>
      <c r="G233" t="s">
        <v>32</v>
      </c>
      <c r="H233" t="s">
        <v>39</v>
      </c>
      <c r="I233" t="s">
        <v>489</v>
      </c>
      <c r="J233" t="s">
        <v>95</v>
      </c>
      <c r="K233">
        <v>20</v>
      </c>
      <c r="L233">
        <v>726</v>
      </c>
      <c r="M233">
        <v>14520</v>
      </c>
      <c r="N233">
        <v>14520</v>
      </c>
      <c r="O233">
        <v>0</v>
      </c>
      <c r="P233" t="s">
        <v>26</v>
      </c>
      <c r="Q233">
        <v>2018</v>
      </c>
      <c r="R233" t="s">
        <v>63</v>
      </c>
      <c r="S233" t="s">
        <v>28</v>
      </c>
      <c r="T233" t="s">
        <v>29</v>
      </c>
    </row>
    <row r="234" spans="1:20" x14ac:dyDescent="0.35">
      <c r="A234" t="s">
        <v>18</v>
      </c>
      <c r="B234" t="s">
        <v>166</v>
      </c>
      <c r="C234" t="s">
        <v>167</v>
      </c>
      <c r="D234" t="s">
        <v>21</v>
      </c>
      <c r="E234">
        <v>50.8</v>
      </c>
      <c r="F234">
        <v>19.116700000000002</v>
      </c>
      <c r="G234" t="s">
        <v>32</v>
      </c>
      <c r="H234" t="s">
        <v>33</v>
      </c>
      <c r="I234" t="s">
        <v>490</v>
      </c>
      <c r="J234" t="s">
        <v>95</v>
      </c>
      <c r="K234">
        <v>5</v>
      </c>
      <c r="L234">
        <v>490</v>
      </c>
      <c r="M234">
        <v>2450</v>
      </c>
      <c r="N234">
        <v>2450</v>
      </c>
      <c r="O234">
        <v>0</v>
      </c>
      <c r="P234" t="s">
        <v>26</v>
      </c>
      <c r="Q234">
        <v>2018</v>
      </c>
      <c r="R234" t="s">
        <v>105</v>
      </c>
      <c r="S234" t="s">
        <v>71</v>
      </c>
      <c r="T234" t="s">
        <v>72</v>
      </c>
    </row>
    <row r="235" spans="1:20" x14ac:dyDescent="0.35">
      <c r="A235" t="s">
        <v>18</v>
      </c>
      <c r="B235" t="s">
        <v>491</v>
      </c>
      <c r="C235" t="s">
        <v>492</v>
      </c>
      <c r="D235" t="s">
        <v>21</v>
      </c>
      <c r="E235">
        <v>54.028500000000001</v>
      </c>
      <c r="F235">
        <v>19.0444</v>
      </c>
      <c r="G235" t="s">
        <v>22</v>
      </c>
      <c r="H235" t="s">
        <v>23</v>
      </c>
      <c r="I235" t="s">
        <v>493</v>
      </c>
      <c r="J235" t="s">
        <v>134</v>
      </c>
      <c r="K235">
        <v>15</v>
      </c>
      <c r="L235">
        <v>516</v>
      </c>
      <c r="M235">
        <v>7740</v>
      </c>
      <c r="N235">
        <v>7740</v>
      </c>
      <c r="O235">
        <v>0</v>
      </c>
      <c r="P235" t="s">
        <v>26</v>
      </c>
      <c r="Q235">
        <v>2018</v>
      </c>
      <c r="R235" t="s">
        <v>57</v>
      </c>
      <c r="S235" t="s">
        <v>58</v>
      </c>
      <c r="T235" t="s">
        <v>59</v>
      </c>
    </row>
    <row r="236" spans="1:20" x14ac:dyDescent="0.35">
      <c r="A236" t="s">
        <v>18</v>
      </c>
      <c r="B236" t="s">
        <v>487</v>
      </c>
      <c r="C236" t="s">
        <v>488</v>
      </c>
      <c r="D236" t="s">
        <v>21</v>
      </c>
      <c r="E236">
        <v>50.283299999999997</v>
      </c>
      <c r="F236">
        <v>21.433299999999999</v>
      </c>
      <c r="G236" t="s">
        <v>22</v>
      </c>
      <c r="H236" t="s">
        <v>23</v>
      </c>
      <c r="I236" t="s">
        <v>377</v>
      </c>
      <c r="J236" t="s">
        <v>95</v>
      </c>
      <c r="K236">
        <v>4</v>
      </c>
      <c r="L236">
        <v>141</v>
      </c>
      <c r="M236">
        <v>564</v>
      </c>
      <c r="N236">
        <v>564</v>
      </c>
      <c r="O236">
        <v>0</v>
      </c>
      <c r="P236" t="s">
        <v>26</v>
      </c>
      <c r="Q236">
        <v>2018</v>
      </c>
      <c r="R236" t="s">
        <v>52</v>
      </c>
      <c r="S236" t="s">
        <v>28</v>
      </c>
      <c r="T236" t="s">
        <v>29</v>
      </c>
    </row>
    <row r="237" spans="1:20" x14ac:dyDescent="0.35">
      <c r="A237" t="s">
        <v>18</v>
      </c>
      <c r="B237" t="s">
        <v>365</v>
      </c>
      <c r="C237" t="s">
        <v>366</v>
      </c>
      <c r="D237" t="s">
        <v>21</v>
      </c>
      <c r="E237">
        <v>49.5625</v>
      </c>
      <c r="F237">
        <v>20.636399999999998</v>
      </c>
      <c r="G237" t="s">
        <v>22</v>
      </c>
      <c r="H237" t="s">
        <v>23</v>
      </c>
      <c r="I237" t="s">
        <v>244</v>
      </c>
      <c r="J237" t="s">
        <v>35</v>
      </c>
      <c r="K237">
        <v>6</v>
      </c>
      <c r="L237">
        <v>497</v>
      </c>
      <c r="M237">
        <v>2982</v>
      </c>
      <c r="N237">
        <v>2982</v>
      </c>
      <c r="O237">
        <v>0</v>
      </c>
      <c r="P237" t="s">
        <v>26</v>
      </c>
      <c r="Q237">
        <v>2018</v>
      </c>
      <c r="R237" t="s">
        <v>87</v>
      </c>
      <c r="S237" t="s">
        <v>42</v>
      </c>
      <c r="T237" t="s">
        <v>43</v>
      </c>
    </row>
    <row r="238" spans="1:20" x14ac:dyDescent="0.35">
      <c r="A238" t="s">
        <v>18</v>
      </c>
      <c r="B238" t="s">
        <v>92</v>
      </c>
      <c r="C238" t="s">
        <v>93</v>
      </c>
      <c r="D238" t="s">
        <v>21</v>
      </c>
      <c r="E238">
        <v>54.366700000000002</v>
      </c>
      <c r="F238">
        <v>18.633299999999998</v>
      </c>
      <c r="G238" t="s">
        <v>32</v>
      </c>
      <c r="H238" t="s">
        <v>33</v>
      </c>
      <c r="I238" t="s">
        <v>494</v>
      </c>
      <c r="J238" t="s">
        <v>86</v>
      </c>
      <c r="K238">
        <v>13</v>
      </c>
      <c r="L238">
        <v>469</v>
      </c>
      <c r="M238">
        <v>6097</v>
      </c>
      <c r="N238">
        <v>6097</v>
      </c>
      <c r="O238">
        <v>0</v>
      </c>
      <c r="P238" t="s">
        <v>26</v>
      </c>
      <c r="Q238">
        <v>2018</v>
      </c>
      <c r="R238" t="s">
        <v>115</v>
      </c>
      <c r="S238" t="s">
        <v>58</v>
      </c>
      <c r="T238" t="s">
        <v>59</v>
      </c>
    </row>
    <row r="239" spans="1:20" x14ac:dyDescent="0.35">
      <c r="A239" t="s">
        <v>18</v>
      </c>
      <c r="B239" t="s">
        <v>495</v>
      </c>
      <c r="C239" t="s">
        <v>496</v>
      </c>
      <c r="D239" t="s">
        <v>21</v>
      </c>
      <c r="E239">
        <v>49.989400000000003</v>
      </c>
      <c r="F239">
        <v>20.066099999999999</v>
      </c>
      <c r="G239" t="s">
        <v>32</v>
      </c>
      <c r="H239" t="s">
        <v>39</v>
      </c>
      <c r="I239" t="s">
        <v>497</v>
      </c>
      <c r="J239" t="s">
        <v>134</v>
      </c>
      <c r="K239">
        <v>3</v>
      </c>
      <c r="L239">
        <v>262</v>
      </c>
      <c r="M239">
        <v>786</v>
      </c>
      <c r="N239">
        <v>786</v>
      </c>
      <c r="O239">
        <v>0</v>
      </c>
      <c r="P239" t="s">
        <v>26</v>
      </c>
      <c r="Q239">
        <v>2018</v>
      </c>
      <c r="R239" t="s">
        <v>70</v>
      </c>
      <c r="S239" t="s">
        <v>71</v>
      </c>
      <c r="T239" t="s">
        <v>72</v>
      </c>
    </row>
    <row r="240" spans="1:20" x14ac:dyDescent="0.35">
      <c r="A240" t="s">
        <v>18</v>
      </c>
      <c r="B240" t="s">
        <v>305</v>
      </c>
      <c r="C240" t="s">
        <v>306</v>
      </c>
      <c r="D240" t="s">
        <v>21</v>
      </c>
      <c r="E240">
        <v>50.6</v>
      </c>
      <c r="F240">
        <v>17.0444</v>
      </c>
      <c r="G240" t="s">
        <v>22</v>
      </c>
      <c r="H240" t="s">
        <v>79</v>
      </c>
      <c r="I240" t="s">
        <v>498</v>
      </c>
      <c r="J240" t="s">
        <v>47</v>
      </c>
      <c r="K240">
        <v>30</v>
      </c>
      <c r="L240">
        <v>64</v>
      </c>
      <c r="M240">
        <v>1920</v>
      </c>
      <c r="N240">
        <v>1920</v>
      </c>
      <c r="O240">
        <v>0</v>
      </c>
      <c r="P240" t="s">
        <v>144</v>
      </c>
      <c r="Q240">
        <v>2018</v>
      </c>
      <c r="R240" t="s">
        <v>105</v>
      </c>
      <c r="S240" t="s">
        <v>71</v>
      </c>
      <c r="T240" t="s">
        <v>72</v>
      </c>
    </row>
    <row r="241" spans="1:20" x14ac:dyDescent="0.35">
      <c r="A241" t="s">
        <v>18</v>
      </c>
      <c r="B241" t="s">
        <v>311</v>
      </c>
      <c r="C241" t="s">
        <v>312</v>
      </c>
      <c r="D241" t="s">
        <v>21</v>
      </c>
      <c r="E241">
        <v>49.784999999999997</v>
      </c>
      <c r="F241">
        <v>22.767299999999999</v>
      </c>
      <c r="G241" t="s">
        <v>32</v>
      </c>
      <c r="H241" t="s">
        <v>39</v>
      </c>
      <c r="I241" t="s">
        <v>499</v>
      </c>
      <c r="J241" t="s">
        <v>86</v>
      </c>
      <c r="K241">
        <v>2</v>
      </c>
      <c r="L241">
        <v>518</v>
      </c>
      <c r="M241">
        <v>1036</v>
      </c>
      <c r="N241">
        <v>1036</v>
      </c>
      <c r="O241">
        <v>0</v>
      </c>
      <c r="P241" t="s">
        <v>26</v>
      </c>
      <c r="Q241">
        <v>2018</v>
      </c>
      <c r="R241" t="s">
        <v>119</v>
      </c>
      <c r="S241" t="s">
        <v>71</v>
      </c>
      <c r="T241" t="s">
        <v>72</v>
      </c>
    </row>
    <row r="242" spans="1:20" x14ac:dyDescent="0.35">
      <c r="A242" t="s">
        <v>18</v>
      </c>
      <c r="B242" t="s">
        <v>157</v>
      </c>
      <c r="C242" t="s">
        <v>158</v>
      </c>
      <c r="D242" t="s">
        <v>21</v>
      </c>
      <c r="E242">
        <v>49.822499999999998</v>
      </c>
      <c r="F242">
        <v>19.0444</v>
      </c>
      <c r="G242" t="s">
        <v>32</v>
      </c>
      <c r="H242" t="s">
        <v>39</v>
      </c>
      <c r="I242" t="s">
        <v>493</v>
      </c>
      <c r="J242" t="s">
        <v>134</v>
      </c>
      <c r="K242">
        <v>5</v>
      </c>
      <c r="L242">
        <v>516</v>
      </c>
      <c r="M242">
        <v>2580</v>
      </c>
      <c r="N242">
        <v>2580</v>
      </c>
      <c r="O242">
        <v>0</v>
      </c>
      <c r="P242" t="s">
        <v>26</v>
      </c>
      <c r="Q242">
        <v>2018</v>
      </c>
      <c r="R242" t="s">
        <v>82</v>
      </c>
      <c r="S242" t="s">
        <v>58</v>
      </c>
      <c r="T242" t="s">
        <v>59</v>
      </c>
    </row>
    <row r="243" spans="1:20" x14ac:dyDescent="0.35">
      <c r="A243" t="s">
        <v>18</v>
      </c>
      <c r="B243" t="s">
        <v>208</v>
      </c>
      <c r="C243" t="s">
        <v>209</v>
      </c>
      <c r="D243" t="s">
        <v>21</v>
      </c>
      <c r="E243">
        <v>53.916699999999999</v>
      </c>
      <c r="F243">
        <v>14.25</v>
      </c>
      <c r="G243" t="s">
        <v>22</v>
      </c>
      <c r="H243" t="s">
        <v>79</v>
      </c>
      <c r="I243" t="s">
        <v>454</v>
      </c>
      <c r="J243" t="s">
        <v>95</v>
      </c>
      <c r="K243">
        <v>5</v>
      </c>
      <c r="L243">
        <v>438</v>
      </c>
      <c r="M243">
        <v>2190</v>
      </c>
      <c r="N243">
        <v>2190</v>
      </c>
      <c r="O243">
        <v>0</v>
      </c>
      <c r="P243" t="s">
        <v>382</v>
      </c>
      <c r="Q243">
        <v>2018</v>
      </c>
      <c r="R243" t="s">
        <v>87</v>
      </c>
      <c r="S243" t="s">
        <v>42</v>
      </c>
      <c r="T243" t="s">
        <v>43</v>
      </c>
    </row>
    <row r="244" spans="1:20" x14ac:dyDescent="0.35">
      <c r="A244" t="s">
        <v>18</v>
      </c>
      <c r="B244" t="s">
        <v>500</v>
      </c>
      <c r="C244" t="s">
        <v>501</v>
      </c>
      <c r="D244" t="s">
        <v>21</v>
      </c>
      <c r="E244">
        <v>51.697000000000003</v>
      </c>
      <c r="F244">
        <v>17.435700000000001</v>
      </c>
      <c r="G244" t="s">
        <v>32</v>
      </c>
      <c r="H244" t="s">
        <v>33</v>
      </c>
      <c r="I244" t="s">
        <v>237</v>
      </c>
      <c r="J244" t="s">
        <v>25</v>
      </c>
      <c r="K244">
        <v>2</v>
      </c>
      <c r="L244">
        <v>201</v>
      </c>
      <c r="M244">
        <v>402</v>
      </c>
      <c r="N244">
        <v>402</v>
      </c>
      <c r="O244">
        <v>0</v>
      </c>
      <c r="P244" t="s">
        <v>26</v>
      </c>
      <c r="Q244">
        <v>2018</v>
      </c>
      <c r="R244" t="s">
        <v>105</v>
      </c>
      <c r="S244" t="s">
        <v>71</v>
      </c>
      <c r="T244" t="s">
        <v>72</v>
      </c>
    </row>
    <row r="245" spans="1:20" x14ac:dyDescent="0.35">
      <c r="A245" t="s">
        <v>18</v>
      </c>
      <c r="B245" t="s">
        <v>393</v>
      </c>
      <c r="C245" t="s">
        <v>394</v>
      </c>
      <c r="D245" t="s">
        <v>21</v>
      </c>
      <c r="E245">
        <v>50.059100000000001</v>
      </c>
      <c r="F245">
        <v>22.4941</v>
      </c>
      <c r="G245" t="s">
        <v>32</v>
      </c>
      <c r="H245" t="s">
        <v>39</v>
      </c>
      <c r="I245" t="s">
        <v>237</v>
      </c>
      <c r="J245" t="s">
        <v>25</v>
      </c>
      <c r="K245">
        <v>2</v>
      </c>
      <c r="L245">
        <v>201</v>
      </c>
      <c r="M245">
        <v>402</v>
      </c>
      <c r="N245">
        <v>402</v>
      </c>
      <c r="O245">
        <v>0</v>
      </c>
      <c r="P245" t="s">
        <v>350</v>
      </c>
      <c r="Q245">
        <v>2018</v>
      </c>
      <c r="R245" t="s">
        <v>76</v>
      </c>
      <c r="S245" t="s">
        <v>42</v>
      </c>
      <c r="T245" t="s">
        <v>43</v>
      </c>
    </row>
    <row r="246" spans="1:20" x14ac:dyDescent="0.35">
      <c r="A246" t="s">
        <v>18</v>
      </c>
      <c r="B246" t="s">
        <v>502</v>
      </c>
      <c r="C246" t="s">
        <v>503</v>
      </c>
      <c r="D246" t="s">
        <v>21</v>
      </c>
      <c r="E246">
        <v>54.190300000000001</v>
      </c>
      <c r="F246">
        <v>16.181699999999999</v>
      </c>
      <c r="G246" t="s">
        <v>22</v>
      </c>
      <c r="H246" t="s">
        <v>23</v>
      </c>
      <c r="I246" t="s">
        <v>125</v>
      </c>
      <c r="J246" t="s">
        <v>35</v>
      </c>
      <c r="K246">
        <v>30</v>
      </c>
      <c r="L246">
        <v>215</v>
      </c>
      <c r="M246">
        <v>6450</v>
      </c>
      <c r="N246">
        <v>6450</v>
      </c>
      <c r="O246">
        <v>0</v>
      </c>
      <c r="P246" t="s">
        <v>26</v>
      </c>
      <c r="Q246">
        <v>2018</v>
      </c>
      <c r="R246" t="s">
        <v>70</v>
      </c>
      <c r="S246" t="s">
        <v>71</v>
      </c>
      <c r="T246" t="s">
        <v>72</v>
      </c>
    </row>
    <row r="247" spans="1:20" x14ac:dyDescent="0.35">
      <c r="A247" t="s">
        <v>18</v>
      </c>
      <c r="B247" t="s">
        <v>249</v>
      </c>
      <c r="C247" t="s">
        <v>250</v>
      </c>
      <c r="D247" t="s">
        <v>21</v>
      </c>
      <c r="E247">
        <v>52.124299999999998</v>
      </c>
      <c r="F247">
        <v>20.665400000000002</v>
      </c>
      <c r="G247" t="s">
        <v>32</v>
      </c>
      <c r="H247" t="s">
        <v>33</v>
      </c>
      <c r="I247" t="s">
        <v>251</v>
      </c>
      <c r="J247" t="s">
        <v>47</v>
      </c>
      <c r="K247">
        <v>2</v>
      </c>
      <c r="L247">
        <v>624</v>
      </c>
      <c r="M247">
        <v>1248</v>
      </c>
      <c r="N247">
        <v>1248</v>
      </c>
      <c r="O247">
        <v>0</v>
      </c>
      <c r="P247" t="s">
        <v>91</v>
      </c>
      <c r="Q247">
        <v>2018</v>
      </c>
      <c r="R247" t="s">
        <v>115</v>
      </c>
      <c r="S247" t="s">
        <v>58</v>
      </c>
      <c r="T247" t="s">
        <v>59</v>
      </c>
    </row>
    <row r="248" spans="1:20" x14ac:dyDescent="0.35">
      <c r="A248" t="s">
        <v>18</v>
      </c>
      <c r="B248" t="s">
        <v>60</v>
      </c>
      <c r="C248" t="s">
        <v>61</v>
      </c>
      <c r="D248" t="s">
        <v>21</v>
      </c>
      <c r="E248">
        <v>52.7958</v>
      </c>
      <c r="F248">
        <v>18.261099999999999</v>
      </c>
      <c r="G248" t="s">
        <v>32</v>
      </c>
      <c r="H248" t="s">
        <v>33</v>
      </c>
      <c r="I248" t="s">
        <v>401</v>
      </c>
      <c r="J248" t="s">
        <v>47</v>
      </c>
      <c r="K248">
        <v>5</v>
      </c>
      <c r="L248">
        <v>113</v>
      </c>
      <c r="M248">
        <v>565</v>
      </c>
      <c r="N248">
        <v>565</v>
      </c>
      <c r="O248">
        <v>0</v>
      </c>
      <c r="P248" t="s">
        <v>26</v>
      </c>
      <c r="Q248">
        <v>2018</v>
      </c>
      <c r="R248" t="s">
        <v>52</v>
      </c>
      <c r="S248" t="s">
        <v>28</v>
      </c>
      <c r="T248" t="s">
        <v>29</v>
      </c>
    </row>
    <row r="249" spans="1:20" x14ac:dyDescent="0.35">
      <c r="A249" t="s">
        <v>18</v>
      </c>
      <c r="B249" t="s">
        <v>504</v>
      </c>
      <c r="C249" t="s">
        <v>505</v>
      </c>
      <c r="D249" t="s">
        <v>21</v>
      </c>
      <c r="E249">
        <v>51.466700000000003</v>
      </c>
      <c r="F249">
        <v>22.6</v>
      </c>
      <c r="G249" t="s">
        <v>32</v>
      </c>
      <c r="H249" t="s">
        <v>39</v>
      </c>
      <c r="I249" t="s">
        <v>506</v>
      </c>
      <c r="J249" t="s">
        <v>25</v>
      </c>
      <c r="K249">
        <v>3</v>
      </c>
      <c r="L249">
        <v>542</v>
      </c>
      <c r="M249">
        <v>1626</v>
      </c>
      <c r="N249">
        <v>1626</v>
      </c>
      <c r="O249">
        <v>0</v>
      </c>
      <c r="P249" t="s">
        <v>26</v>
      </c>
      <c r="Q249">
        <v>2018</v>
      </c>
      <c r="R249" t="s">
        <v>36</v>
      </c>
      <c r="S249" t="s">
        <v>28</v>
      </c>
      <c r="T249" t="s">
        <v>29</v>
      </c>
    </row>
    <row r="250" spans="1:20" x14ac:dyDescent="0.35">
      <c r="A250" t="s">
        <v>18</v>
      </c>
      <c r="B250" t="s">
        <v>409</v>
      </c>
      <c r="C250" t="s">
        <v>410</v>
      </c>
      <c r="D250" t="s">
        <v>21</v>
      </c>
      <c r="E250">
        <v>53.735799999999998</v>
      </c>
      <c r="F250">
        <v>18.930800000000001</v>
      </c>
      <c r="G250" t="s">
        <v>32</v>
      </c>
      <c r="H250" t="s">
        <v>39</v>
      </c>
      <c r="I250" t="s">
        <v>128</v>
      </c>
      <c r="J250" t="s">
        <v>86</v>
      </c>
      <c r="K250">
        <v>4</v>
      </c>
      <c r="L250">
        <v>689</v>
      </c>
      <c r="M250">
        <v>2756</v>
      </c>
      <c r="N250">
        <v>2756</v>
      </c>
      <c r="O250">
        <v>0</v>
      </c>
      <c r="P250" t="s">
        <v>177</v>
      </c>
      <c r="Q250">
        <v>2018</v>
      </c>
      <c r="R250" t="s">
        <v>82</v>
      </c>
      <c r="S250" t="s">
        <v>58</v>
      </c>
      <c r="T250" t="s">
        <v>59</v>
      </c>
    </row>
    <row r="251" spans="1:20" x14ac:dyDescent="0.35">
      <c r="A251" t="s">
        <v>18</v>
      </c>
      <c r="B251" t="s">
        <v>507</v>
      </c>
      <c r="C251" t="s">
        <v>508</v>
      </c>
      <c r="D251" t="s">
        <v>21</v>
      </c>
      <c r="E251">
        <v>54.050400000000003</v>
      </c>
      <c r="F251">
        <v>21.145800000000001</v>
      </c>
      <c r="G251" t="s">
        <v>22</v>
      </c>
      <c r="H251" t="s">
        <v>79</v>
      </c>
      <c r="I251" t="s">
        <v>509</v>
      </c>
      <c r="J251" t="s">
        <v>47</v>
      </c>
      <c r="K251">
        <v>5</v>
      </c>
      <c r="L251">
        <v>345</v>
      </c>
      <c r="M251">
        <v>1725</v>
      </c>
      <c r="N251">
        <v>1725</v>
      </c>
      <c r="O251">
        <v>0</v>
      </c>
      <c r="P251" t="s">
        <v>26</v>
      </c>
      <c r="Q251">
        <v>2018</v>
      </c>
      <c r="R251" t="s">
        <v>87</v>
      </c>
      <c r="S251" t="s">
        <v>42</v>
      </c>
      <c r="T251" t="s">
        <v>43</v>
      </c>
    </row>
    <row r="252" spans="1:20" x14ac:dyDescent="0.35">
      <c r="A252" t="s">
        <v>18</v>
      </c>
      <c r="B252" t="s">
        <v>295</v>
      </c>
      <c r="C252" t="s">
        <v>296</v>
      </c>
      <c r="D252" t="s">
        <v>21</v>
      </c>
      <c r="E252">
        <v>50.313099999999999</v>
      </c>
      <c r="F252">
        <v>17.374199999999998</v>
      </c>
      <c r="G252" t="s">
        <v>22</v>
      </c>
      <c r="H252" t="s">
        <v>79</v>
      </c>
      <c r="I252" t="s">
        <v>510</v>
      </c>
      <c r="J252" t="s">
        <v>35</v>
      </c>
      <c r="K252">
        <v>60</v>
      </c>
      <c r="L252">
        <v>153</v>
      </c>
      <c r="M252">
        <v>9180</v>
      </c>
      <c r="N252">
        <v>9180</v>
      </c>
      <c r="O252">
        <v>0</v>
      </c>
      <c r="P252" t="s">
        <v>26</v>
      </c>
      <c r="Q252">
        <v>2018</v>
      </c>
      <c r="R252" t="s">
        <v>76</v>
      </c>
      <c r="S252" t="s">
        <v>42</v>
      </c>
      <c r="T252" t="s">
        <v>43</v>
      </c>
    </row>
    <row r="253" spans="1:20" x14ac:dyDescent="0.35">
      <c r="A253" t="s">
        <v>18</v>
      </c>
      <c r="B253" t="s">
        <v>495</v>
      </c>
      <c r="C253" t="s">
        <v>496</v>
      </c>
      <c r="D253" t="s">
        <v>21</v>
      </c>
      <c r="E253">
        <v>49.989400000000003</v>
      </c>
      <c r="F253">
        <v>20.066099999999999</v>
      </c>
      <c r="G253" t="s">
        <v>32</v>
      </c>
      <c r="H253" t="s">
        <v>39</v>
      </c>
      <c r="I253" t="s">
        <v>511</v>
      </c>
      <c r="J253" t="s">
        <v>134</v>
      </c>
      <c r="K253">
        <v>2</v>
      </c>
      <c r="L253">
        <v>710</v>
      </c>
      <c r="M253">
        <v>1420</v>
      </c>
      <c r="N253">
        <v>1420</v>
      </c>
      <c r="O253">
        <v>0</v>
      </c>
      <c r="P253" t="s">
        <v>26</v>
      </c>
      <c r="Q253">
        <v>2018</v>
      </c>
      <c r="R253" t="s">
        <v>52</v>
      </c>
      <c r="S253" t="s">
        <v>28</v>
      </c>
      <c r="T253" t="s">
        <v>29</v>
      </c>
    </row>
    <row r="254" spans="1:20" x14ac:dyDescent="0.35">
      <c r="A254" t="s">
        <v>18</v>
      </c>
      <c r="B254" t="s">
        <v>512</v>
      </c>
      <c r="C254" t="s">
        <v>513</v>
      </c>
      <c r="D254" t="s">
        <v>21</v>
      </c>
      <c r="E254">
        <v>54</v>
      </c>
      <c r="F254">
        <v>16.9833</v>
      </c>
      <c r="G254" t="s">
        <v>22</v>
      </c>
      <c r="H254" t="s">
        <v>23</v>
      </c>
      <c r="I254" t="s">
        <v>140</v>
      </c>
      <c r="J254" t="s">
        <v>134</v>
      </c>
      <c r="K254">
        <v>4</v>
      </c>
      <c r="L254">
        <v>511</v>
      </c>
      <c r="M254">
        <v>2044</v>
      </c>
      <c r="N254">
        <v>2044</v>
      </c>
      <c r="O254">
        <v>0</v>
      </c>
      <c r="P254" t="s">
        <v>26</v>
      </c>
      <c r="Q254">
        <v>2018</v>
      </c>
      <c r="R254" t="s">
        <v>36</v>
      </c>
      <c r="S254" t="s">
        <v>28</v>
      </c>
      <c r="T254" t="s">
        <v>29</v>
      </c>
    </row>
    <row r="255" spans="1:20" x14ac:dyDescent="0.35">
      <c r="A255" t="s">
        <v>18</v>
      </c>
      <c r="B255" t="s">
        <v>280</v>
      </c>
      <c r="C255" t="s">
        <v>281</v>
      </c>
      <c r="D255" t="s">
        <v>21</v>
      </c>
      <c r="E255">
        <v>52.253100000000003</v>
      </c>
      <c r="F255">
        <v>15.9178</v>
      </c>
      <c r="G255" t="s">
        <v>22</v>
      </c>
      <c r="H255" t="s">
        <v>23</v>
      </c>
      <c r="I255" t="s">
        <v>514</v>
      </c>
      <c r="J255" t="s">
        <v>134</v>
      </c>
      <c r="K255">
        <v>3</v>
      </c>
      <c r="L255">
        <v>74</v>
      </c>
      <c r="M255">
        <v>222</v>
      </c>
      <c r="N255">
        <v>222</v>
      </c>
      <c r="O255">
        <v>0</v>
      </c>
      <c r="P255" t="s">
        <v>26</v>
      </c>
      <c r="Q255">
        <v>2018</v>
      </c>
      <c r="R255" t="s">
        <v>27</v>
      </c>
      <c r="S255" t="s">
        <v>28</v>
      </c>
      <c r="T255" t="s">
        <v>29</v>
      </c>
    </row>
    <row r="256" spans="1:20" x14ac:dyDescent="0.35">
      <c r="A256" t="s">
        <v>18</v>
      </c>
      <c r="B256" t="s">
        <v>300</v>
      </c>
      <c r="C256" t="s">
        <v>301</v>
      </c>
      <c r="D256" t="s">
        <v>21</v>
      </c>
      <c r="E256">
        <v>53.816699999999997</v>
      </c>
      <c r="F256">
        <v>22.35</v>
      </c>
      <c r="G256" t="s">
        <v>32</v>
      </c>
      <c r="H256" t="s">
        <v>33</v>
      </c>
      <c r="I256" t="s">
        <v>414</v>
      </c>
      <c r="J256" t="s">
        <v>47</v>
      </c>
      <c r="K256">
        <v>4</v>
      </c>
      <c r="L256">
        <v>445</v>
      </c>
      <c r="M256">
        <v>1780</v>
      </c>
      <c r="N256">
        <v>1780</v>
      </c>
      <c r="O256">
        <v>0</v>
      </c>
      <c r="P256" t="s">
        <v>51</v>
      </c>
      <c r="Q256">
        <v>2018</v>
      </c>
      <c r="R256" t="s">
        <v>70</v>
      </c>
      <c r="S256" t="s">
        <v>71</v>
      </c>
      <c r="T256" t="s">
        <v>72</v>
      </c>
    </row>
    <row r="257" spans="1:20" x14ac:dyDescent="0.35">
      <c r="A257" t="s">
        <v>18</v>
      </c>
      <c r="B257" t="s">
        <v>393</v>
      </c>
      <c r="C257" t="s">
        <v>394</v>
      </c>
      <c r="D257" t="s">
        <v>21</v>
      </c>
      <c r="E257">
        <v>50.059100000000001</v>
      </c>
      <c r="F257">
        <v>22.4941</v>
      </c>
      <c r="G257" t="s">
        <v>32</v>
      </c>
      <c r="H257" t="s">
        <v>39</v>
      </c>
      <c r="I257" t="s">
        <v>515</v>
      </c>
      <c r="J257" t="s">
        <v>134</v>
      </c>
      <c r="K257">
        <v>2</v>
      </c>
      <c r="L257">
        <v>705</v>
      </c>
      <c r="M257">
        <v>1410</v>
      </c>
      <c r="N257">
        <v>1410</v>
      </c>
      <c r="O257">
        <v>0</v>
      </c>
      <c r="P257" t="s">
        <v>185</v>
      </c>
      <c r="Q257">
        <v>2018</v>
      </c>
      <c r="R257" t="s">
        <v>82</v>
      </c>
      <c r="S257" t="s">
        <v>58</v>
      </c>
      <c r="T257" t="s">
        <v>59</v>
      </c>
    </row>
    <row r="258" spans="1:20" x14ac:dyDescent="0.35">
      <c r="A258" t="s">
        <v>18</v>
      </c>
      <c r="B258" t="s">
        <v>491</v>
      </c>
      <c r="C258" t="s">
        <v>492</v>
      </c>
      <c r="D258" t="s">
        <v>21</v>
      </c>
      <c r="E258">
        <v>54.028500000000001</v>
      </c>
      <c r="F258">
        <v>19.0444</v>
      </c>
      <c r="G258" t="s">
        <v>22</v>
      </c>
      <c r="H258" t="s">
        <v>23</v>
      </c>
      <c r="I258" t="s">
        <v>516</v>
      </c>
      <c r="J258" t="s">
        <v>35</v>
      </c>
      <c r="K258">
        <v>2</v>
      </c>
      <c r="L258">
        <v>450</v>
      </c>
      <c r="M258">
        <v>900</v>
      </c>
      <c r="N258">
        <v>900</v>
      </c>
      <c r="O258">
        <v>0</v>
      </c>
      <c r="P258" t="s">
        <v>26</v>
      </c>
      <c r="Q258">
        <v>2018</v>
      </c>
      <c r="R258" t="s">
        <v>70</v>
      </c>
      <c r="S258" t="s">
        <v>71</v>
      </c>
      <c r="T258" t="s">
        <v>72</v>
      </c>
    </row>
    <row r="259" spans="1:20" x14ac:dyDescent="0.35">
      <c r="A259" t="s">
        <v>18</v>
      </c>
      <c r="B259" t="s">
        <v>360</v>
      </c>
      <c r="C259" t="s">
        <v>361</v>
      </c>
      <c r="D259" t="s">
        <v>21</v>
      </c>
      <c r="E259">
        <v>52.083300000000001</v>
      </c>
      <c r="F259">
        <v>16.649999999999999</v>
      </c>
      <c r="G259" t="s">
        <v>22</v>
      </c>
      <c r="H259" t="s">
        <v>23</v>
      </c>
      <c r="I259" t="s">
        <v>517</v>
      </c>
      <c r="J259" t="s">
        <v>25</v>
      </c>
      <c r="K259">
        <v>4</v>
      </c>
      <c r="L259">
        <v>115</v>
      </c>
      <c r="M259">
        <v>460</v>
      </c>
      <c r="N259">
        <v>460</v>
      </c>
      <c r="O259">
        <v>0</v>
      </c>
      <c r="P259" t="s">
        <v>26</v>
      </c>
      <c r="Q259">
        <v>2018</v>
      </c>
      <c r="R259" t="s">
        <v>115</v>
      </c>
      <c r="S259" t="s">
        <v>58</v>
      </c>
      <c r="T259" t="s">
        <v>59</v>
      </c>
    </row>
    <row r="260" spans="1:20" x14ac:dyDescent="0.35">
      <c r="A260" t="s">
        <v>18</v>
      </c>
      <c r="B260" t="s">
        <v>518</v>
      </c>
      <c r="C260" t="s">
        <v>519</v>
      </c>
      <c r="D260" t="s">
        <v>21</v>
      </c>
      <c r="E260">
        <v>50.687399999999997</v>
      </c>
      <c r="F260">
        <v>16.371700000000001</v>
      </c>
      <c r="G260" t="s">
        <v>32</v>
      </c>
      <c r="H260" t="s">
        <v>33</v>
      </c>
      <c r="I260" t="s">
        <v>520</v>
      </c>
      <c r="J260" t="s">
        <v>86</v>
      </c>
      <c r="K260">
        <v>3</v>
      </c>
      <c r="L260">
        <v>445</v>
      </c>
      <c r="M260">
        <v>1335</v>
      </c>
      <c r="N260">
        <v>1335</v>
      </c>
      <c r="O260">
        <v>0</v>
      </c>
      <c r="P260" t="s">
        <v>26</v>
      </c>
      <c r="Q260">
        <v>2018</v>
      </c>
      <c r="R260" t="s">
        <v>87</v>
      </c>
      <c r="S260" t="s">
        <v>42</v>
      </c>
      <c r="T260" t="s">
        <v>43</v>
      </c>
    </row>
    <row r="261" spans="1:20" x14ac:dyDescent="0.35">
      <c r="A261" t="s">
        <v>18</v>
      </c>
      <c r="B261" t="s">
        <v>293</v>
      </c>
      <c r="C261" t="s">
        <v>294</v>
      </c>
      <c r="D261" t="s">
        <v>21</v>
      </c>
      <c r="E261">
        <v>53.349200000000003</v>
      </c>
      <c r="F261">
        <v>18.426100000000002</v>
      </c>
      <c r="G261" t="s">
        <v>22</v>
      </c>
      <c r="H261" t="s">
        <v>23</v>
      </c>
      <c r="I261" t="s">
        <v>204</v>
      </c>
      <c r="J261" t="s">
        <v>25</v>
      </c>
      <c r="K261">
        <v>30</v>
      </c>
      <c r="L261">
        <v>99</v>
      </c>
      <c r="M261">
        <v>2970</v>
      </c>
      <c r="N261">
        <v>2970</v>
      </c>
      <c r="O261">
        <v>0</v>
      </c>
      <c r="P261" t="s">
        <v>26</v>
      </c>
      <c r="Q261">
        <v>2018</v>
      </c>
      <c r="R261" t="s">
        <v>87</v>
      </c>
      <c r="S261" t="s">
        <v>42</v>
      </c>
      <c r="T261" t="s">
        <v>43</v>
      </c>
    </row>
    <row r="262" spans="1:20" x14ac:dyDescent="0.35">
      <c r="A262" t="s">
        <v>18</v>
      </c>
      <c r="B262" t="s">
        <v>461</v>
      </c>
      <c r="C262" t="s">
        <v>462</v>
      </c>
      <c r="D262" t="s">
        <v>21</v>
      </c>
      <c r="E262">
        <v>54.518900000000002</v>
      </c>
      <c r="F262">
        <v>18.5319</v>
      </c>
      <c r="G262" t="s">
        <v>32</v>
      </c>
      <c r="H262" t="s">
        <v>33</v>
      </c>
      <c r="I262" t="s">
        <v>69</v>
      </c>
      <c r="J262" t="s">
        <v>25</v>
      </c>
      <c r="K262">
        <v>6</v>
      </c>
      <c r="L262">
        <v>551</v>
      </c>
      <c r="M262">
        <v>3306</v>
      </c>
      <c r="N262">
        <v>3306</v>
      </c>
      <c r="O262">
        <v>0</v>
      </c>
      <c r="P262" t="s">
        <v>26</v>
      </c>
      <c r="Q262">
        <v>2018</v>
      </c>
      <c r="R262" t="s">
        <v>119</v>
      </c>
      <c r="S262" t="s">
        <v>71</v>
      </c>
      <c r="T262" t="s">
        <v>72</v>
      </c>
    </row>
    <row r="263" spans="1:20" x14ac:dyDescent="0.35">
      <c r="A263" t="s">
        <v>18</v>
      </c>
      <c r="B263" t="s">
        <v>438</v>
      </c>
      <c r="C263" t="s">
        <v>439</v>
      </c>
      <c r="D263" t="s">
        <v>21</v>
      </c>
      <c r="E263">
        <v>50</v>
      </c>
      <c r="F263">
        <v>19.149999999999999</v>
      </c>
      <c r="G263" t="s">
        <v>22</v>
      </c>
      <c r="H263" t="s">
        <v>23</v>
      </c>
      <c r="I263" t="s">
        <v>85</v>
      </c>
      <c r="J263" t="s">
        <v>86</v>
      </c>
      <c r="K263">
        <v>5</v>
      </c>
      <c r="L263">
        <v>249</v>
      </c>
      <c r="M263">
        <v>1245</v>
      </c>
      <c r="N263">
        <v>1245</v>
      </c>
      <c r="O263">
        <v>0</v>
      </c>
      <c r="P263" t="s">
        <v>26</v>
      </c>
      <c r="Q263">
        <v>2018</v>
      </c>
      <c r="R263" t="s">
        <v>119</v>
      </c>
      <c r="S263" t="s">
        <v>71</v>
      </c>
      <c r="T263" t="s">
        <v>72</v>
      </c>
    </row>
    <row r="264" spans="1:20" x14ac:dyDescent="0.35">
      <c r="A264" t="s">
        <v>18</v>
      </c>
      <c r="B264" t="s">
        <v>37</v>
      </c>
      <c r="C264" t="s">
        <v>38</v>
      </c>
      <c r="D264" t="s">
        <v>21</v>
      </c>
      <c r="E264">
        <v>50.083300000000001</v>
      </c>
      <c r="F264">
        <v>18.5</v>
      </c>
      <c r="G264" t="s">
        <v>32</v>
      </c>
      <c r="H264" t="s">
        <v>39</v>
      </c>
      <c r="I264" t="s">
        <v>108</v>
      </c>
      <c r="J264" t="s">
        <v>86</v>
      </c>
      <c r="K264">
        <v>5</v>
      </c>
      <c r="L264">
        <v>288</v>
      </c>
      <c r="M264">
        <v>1440</v>
      </c>
      <c r="N264">
        <v>1440</v>
      </c>
      <c r="O264">
        <v>0</v>
      </c>
      <c r="P264" t="s">
        <v>26</v>
      </c>
      <c r="Q264">
        <v>2018</v>
      </c>
      <c r="R264" t="s">
        <v>82</v>
      </c>
      <c r="S264" t="s">
        <v>58</v>
      </c>
      <c r="T264" t="s">
        <v>59</v>
      </c>
    </row>
    <row r="265" spans="1:20" x14ac:dyDescent="0.35">
      <c r="A265" t="s">
        <v>18</v>
      </c>
      <c r="B265" t="s">
        <v>521</v>
      </c>
      <c r="C265" t="s">
        <v>522</v>
      </c>
      <c r="D265" t="s">
        <v>21</v>
      </c>
      <c r="E265">
        <v>54.55</v>
      </c>
      <c r="F265">
        <v>17.75</v>
      </c>
      <c r="G265" t="s">
        <v>22</v>
      </c>
      <c r="H265" t="s">
        <v>23</v>
      </c>
      <c r="I265" t="s">
        <v>383</v>
      </c>
      <c r="J265" t="s">
        <v>25</v>
      </c>
      <c r="K265">
        <v>1</v>
      </c>
      <c r="L265">
        <v>334</v>
      </c>
      <c r="M265">
        <v>334</v>
      </c>
      <c r="N265">
        <v>334</v>
      </c>
      <c r="O265">
        <v>0</v>
      </c>
      <c r="P265" t="s">
        <v>26</v>
      </c>
      <c r="Q265">
        <v>2018</v>
      </c>
      <c r="R265" t="s">
        <v>76</v>
      </c>
      <c r="S265" t="s">
        <v>42</v>
      </c>
      <c r="T265" t="s">
        <v>43</v>
      </c>
    </row>
    <row r="266" spans="1:20" x14ac:dyDescent="0.35">
      <c r="A266" t="s">
        <v>18</v>
      </c>
      <c r="B266" t="s">
        <v>379</v>
      </c>
      <c r="C266" t="s">
        <v>380</v>
      </c>
      <c r="D266" t="s">
        <v>21</v>
      </c>
      <c r="E266">
        <v>49.9833</v>
      </c>
      <c r="F266">
        <v>20.433299999999999</v>
      </c>
      <c r="G266" t="s">
        <v>32</v>
      </c>
      <c r="H266" t="s">
        <v>39</v>
      </c>
      <c r="I266" t="s">
        <v>523</v>
      </c>
      <c r="J266" t="s">
        <v>86</v>
      </c>
      <c r="K266">
        <v>2</v>
      </c>
      <c r="L266">
        <v>47</v>
      </c>
      <c r="M266">
        <v>94</v>
      </c>
      <c r="N266">
        <v>94</v>
      </c>
      <c r="O266">
        <v>0</v>
      </c>
      <c r="P266" t="s">
        <v>26</v>
      </c>
      <c r="Q266">
        <v>2018</v>
      </c>
      <c r="R266" t="s">
        <v>63</v>
      </c>
      <c r="S266" t="s">
        <v>28</v>
      </c>
      <c r="T266" t="s">
        <v>29</v>
      </c>
    </row>
    <row r="267" spans="1:20" x14ac:dyDescent="0.35">
      <c r="A267" t="s">
        <v>18</v>
      </c>
      <c r="B267" t="s">
        <v>362</v>
      </c>
      <c r="C267" t="s">
        <v>363</v>
      </c>
      <c r="D267" t="s">
        <v>21</v>
      </c>
      <c r="E267">
        <v>50.872500000000002</v>
      </c>
      <c r="F267">
        <v>20.631900000000002</v>
      </c>
      <c r="G267" t="s">
        <v>32</v>
      </c>
      <c r="H267" t="s">
        <v>39</v>
      </c>
      <c r="I267" t="s">
        <v>80</v>
      </c>
      <c r="J267" t="s">
        <v>25</v>
      </c>
      <c r="K267">
        <v>5</v>
      </c>
      <c r="L267">
        <v>762</v>
      </c>
      <c r="M267">
        <v>3810</v>
      </c>
      <c r="N267">
        <v>3810</v>
      </c>
      <c r="O267">
        <v>0</v>
      </c>
      <c r="P267" t="s">
        <v>26</v>
      </c>
      <c r="Q267">
        <v>2018</v>
      </c>
      <c r="R267" t="s">
        <v>52</v>
      </c>
      <c r="S267" t="s">
        <v>28</v>
      </c>
      <c r="T267" t="s">
        <v>29</v>
      </c>
    </row>
    <row r="268" spans="1:20" x14ac:dyDescent="0.35">
      <c r="A268" t="s">
        <v>18</v>
      </c>
      <c r="B268" t="s">
        <v>138</v>
      </c>
      <c r="C268" t="s">
        <v>139</v>
      </c>
      <c r="D268" t="s">
        <v>21</v>
      </c>
      <c r="E268">
        <v>50.1556</v>
      </c>
      <c r="F268">
        <v>23.123000000000001</v>
      </c>
      <c r="G268" t="s">
        <v>32</v>
      </c>
      <c r="H268" t="s">
        <v>39</v>
      </c>
      <c r="I268" t="s">
        <v>244</v>
      </c>
      <c r="J268" t="s">
        <v>35</v>
      </c>
      <c r="K268">
        <v>6</v>
      </c>
      <c r="L268">
        <v>497</v>
      </c>
      <c r="M268">
        <v>2982</v>
      </c>
      <c r="N268">
        <v>2982</v>
      </c>
      <c r="O268">
        <v>0</v>
      </c>
      <c r="P268" t="s">
        <v>26</v>
      </c>
      <c r="Q268">
        <v>2018</v>
      </c>
      <c r="R268" t="s">
        <v>70</v>
      </c>
      <c r="S268" t="s">
        <v>71</v>
      </c>
      <c r="T268" t="s">
        <v>72</v>
      </c>
    </row>
    <row r="269" spans="1:20" x14ac:dyDescent="0.35">
      <c r="A269" t="s">
        <v>18</v>
      </c>
      <c r="B269" t="s">
        <v>316</v>
      </c>
      <c r="C269" t="s">
        <v>317</v>
      </c>
      <c r="D269" t="s">
        <v>21</v>
      </c>
      <c r="E269">
        <v>54.566699999999997</v>
      </c>
      <c r="F269">
        <v>18.399999999999999</v>
      </c>
      <c r="G269" t="s">
        <v>32</v>
      </c>
      <c r="H269" t="s">
        <v>33</v>
      </c>
      <c r="I269" t="s">
        <v>318</v>
      </c>
      <c r="J269" t="s">
        <v>86</v>
      </c>
      <c r="K269">
        <v>6</v>
      </c>
      <c r="L269">
        <v>655</v>
      </c>
      <c r="M269">
        <v>3930</v>
      </c>
      <c r="N269">
        <v>3930</v>
      </c>
      <c r="O269">
        <v>0</v>
      </c>
      <c r="P269" t="s">
        <v>26</v>
      </c>
      <c r="Q269">
        <v>2018</v>
      </c>
      <c r="R269" t="s">
        <v>87</v>
      </c>
      <c r="S269" t="s">
        <v>42</v>
      </c>
      <c r="T269" t="s">
        <v>43</v>
      </c>
    </row>
    <row r="270" spans="1:20" x14ac:dyDescent="0.35">
      <c r="A270" t="s">
        <v>18</v>
      </c>
      <c r="B270" t="s">
        <v>99</v>
      </c>
      <c r="C270" t="s">
        <v>100</v>
      </c>
      <c r="D270" t="s">
        <v>21</v>
      </c>
      <c r="E270">
        <v>50.15</v>
      </c>
      <c r="F270">
        <v>18.833300000000001</v>
      </c>
      <c r="G270" t="s">
        <v>22</v>
      </c>
      <c r="H270" t="s">
        <v>23</v>
      </c>
      <c r="I270" t="s">
        <v>429</v>
      </c>
      <c r="J270" t="s">
        <v>134</v>
      </c>
      <c r="K270">
        <v>5</v>
      </c>
      <c r="L270">
        <v>420</v>
      </c>
      <c r="M270">
        <v>2100</v>
      </c>
      <c r="N270">
        <v>2100</v>
      </c>
      <c r="O270">
        <v>0</v>
      </c>
      <c r="P270" t="s">
        <v>26</v>
      </c>
      <c r="Q270">
        <v>2018</v>
      </c>
      <c r="R270" t="s">
        <v>36</v>
      </c>
      <c r="S270" t="s">
        <v>28</v>
      </c>
      <c r="T270" t="s">
        <v>29</v>
      </c>
    </row>
    <row r="271" spans="1:20" x14ac:dyDescent="0.35">
      <c r="A271" t="s">
        <v>18</v>
      </c>
      <c r="B271" t="s">
        <v>331</v>
      </c>
      <c r="C271" t="s">
        <v>332</v>
      </c>
      <c r="D271" t="s">
        <v>21</v>
      </c>
      <c r="E271">
        <v>52.7667</v>
      </c>
      <c r="F271">
        <v>23.2</v>
      </c>
      <c r="G271" t="s">
        <v>22</v>
      </c>
      <c r="H271" t="s">
        <v>79</v>
      </c>
      <c r="I271" t="s">
        <v>151</v>
      </c>
      <c r="J271" t="s">
        <v>134</v>
      </c>
      <c r="K271">
        <v>3</v>
      </c>
      <c r="L271">
        <v>164</v>
      </c>
      <c r="M271">
        <v>492</v>
      </c>
      <c r="N271">
        <v>492</v>
      </c>
      <c r="O271">
        <v>0</v>
      </c>
      <c r="P271" t="s">
        <v>26</v>
      </c>
      <c r="Q271">
        <v>2018</v>
      </c>
      <c r="R271" t="s">
        <v>76</v>
      </c>
      <c r="S271" t="s">
        <v>42</v>
      </c>
      <c r="T271" t="s">
        <v>43</v>
      </c>
    </row>
    <row r="272" spans="1:20" x14ac:dyDescent="0.35">
      <c r="A272" t="s">
        <v>18</v>
      </c>
      <c r="B272" t="s">
        <v>92</v>
      </c>
      <c r="C272" t="s">
        <v>93</v>
      </c>
      <c r="D272" t="s">
        <v>21</v>
      </c>
      <c r="E272">
        <v>54.366700000000002</v>
      </c>
      <c r="F272">
        <v>18.633299999999998</v>
      </c>
      <c r="G272" t="s">
        <v>32</v>
      </c>
      <c r="H272" t="s">
        <v>33</v>
      </c>
      <c r="I272" t="s">
        <v>374</v>
      </c>
      <c r="J272" t="s">
        <v>86</v>
      </c>
      <c r="K272">
        <v>5</v>
      </c>
      <c r="L272">
        <v>535</v>
      </c>
      <c r="M272">
        <v>2675</v>
      </c>
      <c r="N272">
        <v>2675</v>
      </c>
      <c r="O272">
        <v>0</v>
      </c>
      <c r="P272" t="s">
        <v>26</v>
      </c>
      <c r="Q272">
        <v>2018</v>
      </c>
      <c r="R272" t="s">
        <v>70</v>
      </c>
      <c r="S272" t="s">
        <v>71</v>
      </c>
      <c r="T272" t="s">
        <v>72</v>
      </c>
    </row>
    <row r="273" spans="1:20" x14ac:dyDescent="0.35">
      <c r="A273" t="s">
        <v>18</v>
      </c>
      <c r="B273" t="s">
        <v>369</v>
      </c>
      <c r="C273" t="s">
        <v>370</v>
      </c>
      <c r="D273" t="s">
        <v>21</v>
      </c>
      <c r="E273">
        <v>51.8</v>
      </c>
      <c r="F273">
        <v>15.716699999999999</v>
      </c>
      <c r="G273" t="s">
        <v>32</v>
      </c>
      <c r="H273" t="s">
        <v>39</v>
      </c>
      <c r="I273" t="s">
        <v>524</v>
      </c>
      <c r="J273" t="s">
        <v>134</v>
      </c>
      <c r="K273">
        <v>1</v>
      </c>
      <c r="L273">
        <v>104</v>
      </c>
      <c r="M273">
        <v>104</v>
      </c>
      <c r="N273">
        <v>104</v>
      </c>
      <c r="O273">
        <v>0</v>
      </c>
      <c r="P273" t="s">
        <v>26</v>
      </c>
      <c r="Q273">
        <v>2018</v>
      </c>
      <c r="R273" t="s">
        <v>70</v>
      </c>
      <c r="S273" t="s">
        <v>71</v>
      </c>
      <c r="T273" t="s">
        <v>72</v>
      </c>
    </row>
    <row r="274" spans="1:20" x14ac:dyDescent="0.35">
      <c r="A274" t="s">
        <v>18</v>
      </c>
      <c r="B274" t="s">
        <v>319</v>
      </c>
      <c r="C274" t="s">
        <v>320</v>
      </c>
      <c r="D274" t="s">
        <v>21</v>
      </c>
      <c r="E274">
        <v>52.2333</v>
      </c>
      <c r="F274">
        <v>19.366700000000002</v>
      </c>
      <c r="G274" t="s">
        <v>32</v>
      </c>
      <c r="H274" t="s">
        <v>33</v>
      </c>
      <c r="I274" t="s">
        <v>443</v>
      </c>
      <c r="J274" t="s">
        <v>134</v>
      </c>
      <c r="K274">
        <v>3</v>
      </c>
      <c r="L274">
        <v>377</v>
      </c>
      <c r="M274">
        <v>1131</v>
      </c>
      <c r="N274">
        <v>1131</v>
      </c>
      <c r="O274">
        <v>0</v>
      </c>
      <c r="P274" t="s">
        <v>26</v>
      </c>
      <c r="Q274">
        <v>2018</v>
      </c>
      <c r="R274" t="s">
        <v>41</v>
      </c>
      <c r="S274" t="s">
        <v>42</v>
      </c>
      <c r="T274" t="s">
        <v>43</v>
      </c>
    </row>
    <row r="275" spans="1:20" x14ac:dyDescent="0.35">
      <c r="A275" t="s">
        <v>18</v>
      </c>
      <c r="B275" t="s">
        <v>525</v>
      </c>
      <c r="C275" t="s">
        <v>526</v>
      </c>
      <c r="D275" t="s">
        <v>21</v>
      </c>
      <c r="E275">
        <v>50.200899999999997</v>
      </c>
      <c r="F275">
        <v>17.828600000000002</v>
      </c>
      <c r="G275" t="s">
        <v>32</v>
      </c>
      <c r="H275" t="s">
        <v>39</v>
      </c>
      <c r="I275" t="s">
        <v>527</v>
      </c>
      <c r="J275" t="s">
        <v>134</v>
      </c>
      <c r="K275">
        <v>1</v>
      </c>
      <c r="L275">
        <v>402</v>
      </c>
      <c r="M275">
        <v>402</v>
      </c>
      <c r="N275">
        <v>402</v>
      </c>
      <c r="O275">
        <v>0</v>
      </c>
      <c r="P275" t="s">
        <v>26</v>
      </c>
      <c r="Q275">
        <v>2018</v>
      </c>
      <c r="R275" t="s">
        <v>41</v>
      </c>
      <c r="S275" t="s">
        <v>42</v>
      </c>
      <c r="T275" t="s">
        <v>43</v>
      </c>
    </row>
    <row r="276" spans="1:20" x14ac:dyDescent="0.35">
      <c r="A276" t="s">
        <v>18</v>
      </c>
      <c r="B276" t="s">
        <v>458</v>
      </c>
      <c r="C276" t="s">
        <v>459</v>
      </c>
      <c r="D276" t="s">
        <v>21</v>
      </c>
      <c r="E276">
        <v>51.273000000000003</v>
      </c>
      <c r="F276">
        <v>16.708100000000002</v>
      </c>
      <c r="G276" t="s">
        <v>22</v>
      </c>
      <c r="H276" t="s">
        <v>23</v>
      </c>
      <c r="I276" t="s">
        <v>40</v>
      </c>
      <c r="J276" t="s">
        <v>35</v>
      </c>
      <c r="K276">
        <v>2</v>
      </c>
      <c r="L276">
        <v>66</v>
      </c>
      <c r="M276">
        <v>132</v>
      </c>
      <c r="N276">
        <v>132</v>
      </c>
      <c r="O276">
        <v>0</v>
      </c>
      <c r="P276" t="s">
        <v>26</v>
      </c>
      <c r="Q276">
        <v>2018</v>
      </c>
      <c r="R276" t="s">
        <v>36</v>
      </c>
      <c r="S276" t="s">
        <v>28</v>
      </c>
      <c r="T276" t="s">
        <v>29</v>
      </c>
    </row>
    <row r="277" spans="1:20" x14ac:dyDescent="0.35">
      <c r="A277" t="s">
        <v>18</v>
      </c>
      <c r="B277" t="s">
        <v>178</v>
      </c>
      <c r="C277" t="s">
        <v>179</v>
      </c>
      <c r="D277" t="s">
        <v>21</v>
      </c>
      <c r="E277">
        <v>54.166699999999999</v>
      </c>
      <c r="F277">
        <v>19.399999999999999</v>
      </c>
      <c r="G277" t="s">
        <v>32</v>
      </c>
      <c r="H277" t="s">
        <v>39</v>
      </c>
      <c r="I277" t="s">
        <v>304</v>
      </c>
      <c r="J277" t="s">
        <v>86</v>
      </c>
      <c r="K277">
        <v>6</v>
      </c>
      <c r="L277">
        <v>647</v>
      </c>
      <c r="M277">
        <v>3882</v>
      </c>
      <c r="N277">
        <v>3882</v>
      </c>
      <c r="O277">
        <v>0</v>
      </c>
      <c r="P277" t="s">
        <v>26</v>
      </c>
      <c r="Q277">
        <v>2018</v>
      </c>
      <c r="R277" t="s">
        <v>115</v>
      </c>
      <c r="S277" t="s">
        <v>58</v>
      </c>
      <c r="T277" t="s">
        <v>59</v>
      </c>
    </row>
    <row r="278" spans="1:20" x14ac:dyDescent="0.35">
      <c r="A278" t="s">
        <v>18</v>
      </c>
      <c r="B278" t="s">
        <v>129</v>
      </c>
      <c r="C278" t="s">
        <v>130</v>
      </c>
      <c r="D278" t="s">
        <v>21</v>
      </c>
      <c r="E278">
        <v>52.183300000000003</v>
      </c>
      <c r="F278">
        <v>20.85</v>
      </c>
      <c r="G278" t="s">
        <v>22</v>
      </c>
      <c r="H278" t="s">
        <v>23</v>
      </c>
      <c r="I278" t="s">
        <v>528</v>
      </c>
      <c r="J278" t="s">
        <v>95</v>
      </c>
      <c r="K278">
        <v>2</v>
      </c>
      <c r="L278">
        <v>487</v>
      </c>
      <c r="M278">
        <v>974</v>
      </c>
      <c r="N278">
        <v>974</v>
      </c>
      <c r="O278">
        <v>0</v>
      </c>
      <c r="P278" t="s">
        <v>26</v>
      </c>
      <c r="Q278">
        <v>2018</v>
      </c>
      <c r="R278" t="s">
        <v>52</v>
      </c>
      <c r="S278" t="s">
        <v>28</v>
      </c>
      <c r="T278" t="s">
        <v>29</v>
      </c>
    </row>
    <row r="279" spans="1:20" x14ac:dyDescent="0.35">
      <c r="A279" t="s">
        <v>18</v>
      </c>
      <c r="B279" t="s">
        <v>249</v>
      </c>
      <c r="C279" t="s">
        <v>250</v>
      </c>
      <c r="D279" t="s">
        <v>21</v>
      </c>
      <c r="E279">
        <v>52.124299999999998</v>
      </c>
      <c r="F279">
        <v>20.665400000000002</v>
      </c>
      <c r="G279" t="s">
        <v>32</v>
      </c>
      <c r="H279" t="s">
        <v>33</v>
      </c>
      <c r="I279" t="s">
        <v>529</v>
      </c>
      <c r="J279" t="s">
        <v>47</v>
      </c>
      <c r="K279">
        <v>2</v>
      </c>
      <c r="L279">
        <v>323</v>
      </c>
      <c r="M279">
        <v>646</v>
      </c>
      <c r="N279">
        <v>646</v>
      </c>
      <c r="O279">
        <v>0</v>
      </c>
      <c r="P279" t="s">
        <v>26</v>
      </c>
      <c r="Q279">
        <v>2018</v>
      </c>
      <c r="R279" t="s">
        <v>82</v>
      </c>
      <c r="S279" t="s">
        <v>58</v>
      </c>
      <c r="T279" t="s">
        <v>59</v>
      </c>
    </row>
    <row r="280" spans="1:20" x14ac:dyDescent="0.35">
      <c r="A280" t="s">
        <v>18</v>
      </c>
      <c r="B280" t="s">
        <v>530</v>
      </c>
      <c r="C280" t="s">
        <v>531</v>
      </c>
      <c r="D280" t="s">
        <v>21</v>
      </c>
      <c r="E280">
        <v>52.216700000000003</v>
      </c>
      <c r="F280">
        <v>21.033300000000001</v>
      </c>
      <c r="G280" t="s">
        <v>32</v>
      </c>
      <c r="H280" t="s">
        <v>33</v>
      </c>
      <c r="I280" t="s">
        <v>66</v>
      </c>
      <c r="J280" t="s">
        <v>25</v>
      </c>
      <c r="K280">
        <v>2</v>
      </c>
      <c r="L280">
        <v>742</v>
      </c>
      <c r="M280">
        <v>1484</v>
      </c>
      <c r="N280">
        <v>1484</v>
      </c>
      <c r="O280">
        <v>0</v>
      </c>
      <c r="P280" t="s">
        <v>26</v>
      </c>
      <c r="Q280">
        <v>2018</v>
      </c>
      <c r="R280" t="s">
        <v>105</v>
      </c>
      <c r="S280" t="s">
        <v>71</v>
      </c>
      <c r="T280" t="s">
        <v>72</v>
      </c>
    </row>
    <row r="281" spans="1:20" x14ac:dyDescent="0.35">
      <c r="A281" t="s">
        <v>18</v>
      </c>
      <c r="B281" t="s">
        <v>461</v>
      </c>
      <c r="C281" t="s">
        <v>462</v>
      </c>
      <c r="D281" t="s">
        <v>21</v>
      </c>
      <c r="E281">
        <v>54.518900000000002</v>
      </c>
      <c r="F281">
        <v>18.5319</v>
      </c>
      <c r="G281" t="s">
        <v>32</v>
      </c>
      <c r="H281" t="s">
        <v>33</v>
      </c>
      <c r="I281" t="s">
        <v>429</v>
      </c>
      <c r="J281" t="s">
        <v>134</v>
      </c>
      <c r="K281">
        <v>30</v>
      </c>
      <c r="L281">
        <v>420</v>
      </c>
      <c r="M281">
        <v>12600</v>
      </c>
      <c r="N281">
        <v>12600</v>
      </c>
      <c r="O281">
        <v>0</v>
      </c>
      <c r="P281" t="s">
        <v>26</v>
      </c>
      <c r="Q281">
        <v>2018</v>
      </c>
      <c r="R281" t="s">
        <v>27</v>
      </c>
      <c r="S281" t="s">
        <v>28</v>
      </c>
      <c r="T281" t="s">
        <v>29</v>
      </c>
    </row>
    <row r="282" spans="1:20" x14ac:dyDescent="0.35">
      <c r="A282" t="s">
        <v>18</v>
      </c>
      <c r="B282" t="s">
        <v>340</v>
      </c>
      <c r="C282" t="s">
        <v>341</v>
      </c>
      <c r="D282" t="s">
        <v>21</v>
      </c>
      <c r="E282">
        <v>51.030799999999999</v>
      </c>
      <c r="F282">
        <v>15.420199999999999</v>
      </c>
      <c r="G282" t="s">
        <v>22</v>
      </c>
      <c r="H282" t="s">
        <v>23</v>
      </c>
      <c r="I282" t="s">
        <v>477</v>
      </c>
      <c r="J282" t="s">
        <v>47</v>
      </c>
      <c r="K282">
        <v>2</v>
      </c>
      <c r="L282">
        <v>578</v>
      </c>
      <c r="M282">
        <v>1156</v>
      </c>
      <c r="N282">
        <v>1156</v>
      </c>
      <c r="O282">
        <v>0</v>
      </c>
      <c r="P282" t="s">
        <v>26</v>
      </c>
      <c r="Q282">
        <v>2018</v>
      </c>
      <c r="R282" t="s">
        <v>119</v>
      </c>
      <c r="S282" t="s">
        <v>71</v>
      </c>
      <c r="T282" t="s">
        <v>72</v>
      </c>
    </row>
    <row r="283" spans="1:20" x14ac:dyDescent="0.35">
      <c r="A283" t="s">
        <v>18</v>
      </c>
      <c r="B283" t="s">
        <v>525</v>
      </c>
      <c r="C283" t="s">
        <v>526</v>
      </c>
      <c r="D283" t="s">
        <v>21</v>
      </c>
      <c r="E283">
        <v>50.200899999999997</v>
      </c>
      <c r="F283">
        <v>17.828600000000002</v>
      </c>
      <c r="G283" t="s">
        <v>32</v>
      </c>
      <c r="H283" t="s">
        <v>39</v>
      </c>
      <c r="I283" t="s">
        <v>532</v>
      </c>
      <c r="J283" t="s">
        <v>25</v>
      </c>
      <c r="K283">
        <v>2</v>
      </c>
      <c r="L283">
        <v>682</v>
      </c>
      <c r="M283">
        <v>1364</v>
      </c>
      <c r="N283">
        <v>1364</v>
      </c>
      <c r="O283">
        <v>0</v>
      </c>
      <c r="P283" t="s">
        <v>26</v>
      </c>
      <c r="Q283">
        <v>2018</v>
      </c>
      <c r="R283" t="s">
        <v>119</v>
      </c>
      <c r="S283" t="s">
        <v>71</v>
      </c>
      <c r="T283" t="s">
        <v>72</v>
      </c>
    </row>
    <row r="284" spans="1:20" x14ac:dyDescent="0.35">
      <c r="A284" t="s">
        <v>18</v>
      </c>
      <c r="B284" t="s">
        <v>518</v>
      </c>
      <c r="C284" t="s">
        <v>519</v>
      </c>
      <c r="D284" t="s">
        <v>21</v>
      </c>
      <c r="E284">
        <v>50.687399999999997</v>
      </c>
      <c r="F284">
        <v>16.371700000000001</v>
      </c>
      <c r="G284" t="s">
        <v>32</v>
      </c>
      <c r="H284" t="s">
        <v>33</v>
      </c>
      <c r="I284" t="s">
        <v>406</v>
      </c>
      <c r="J284" t="s">
        <v>86</v>
      </c>
      <c r="K284">
        <v>2</v>
      </c>
      <c r="L284">
        <v>345</v>
      </c>
      <c r="M284">
        <v>690</v>
      </c>
      <c r="N284">
        <v>690</v>
      </c>
      <c r="O284">
        <v>0</v>
      </c>
      <c r="P284" t="s">
        <v>26</v>
      </c>
      <c r="Q284">
        <v>2018</v>
      </c>
      <c r="R284" t="s">
        <v>105</v>
      </c>
      <c r="S284" t="s">
        <v>71</v>
      </c>
      <c r="T284" t="s">
        <v>72</v>
      </c>
    </row>
    <row r="285" spans="1:20" x14ac:dyDescent="0.35">
      <c r="A285" t="s">
        <v>18</v>
      </c>
      <c r="B285" t="s">
        <v>533</v>
      </c>
      <c r="C285" t="s">
        <v>534</v>
      </c>
      <c r="D285" t="s">
        <v>21</v>
      </c>
      <c r="E285">
        <v>49.4833</v>
      </c>
      <c r="F285">
        <v>20.033300000000001</v>
      </c>
      <c r="G285" t="s">
        <v>32</v>
      </c>
      <c r="H285" t="s">
        <v>39</v>
      </c>
      <c r="I285" t="s">
        <v>535</v>
      </c>
      <c r="J285" t="s">
        <v>95</v>
      </c>
      <c r="K285">
        <v>34</v>
      </c>
      <c r="L285">
        <v>390</v>
      </c>
      <c r="M285">
        <v>13260</v>
      </c>
      <c r="N285">
        <v>13260</v>
      </c>
      <c r="O285">
        <v>0</v>
      </c>
      <c r="P285" t="s">
        <v>26</v>
      </c>
      <c r="Q285">
        <v>2018</v>
      </c>
      <c r="R285" t="s">
        <v>27</v>
      </c>
      <c r="S285" t="s">
        <v>28</v>
      </c>
      <c r="T285" t="s">
        <v>29</v>
      </c>
    </row>
    <row r="286" spans="1:20" x14ac:dyDescent="0.35">
      <c r="A286" t="s">
        <v>18</v>
      </c>
      <c r="B286" t="s">
        <v>300</v>
      </c>
      <c r="C286" t="s">
        <v>301</v>
      </c>
      <c r="D286" t="s">
        <v>21</v>
      </c>
      <c r="E286">
        <v>53.816699999999997</v>
      </c>
      <c r="F286">
        <v>22.35</v>
      </c>
      <c r="G286" t="s">
        <v>32</v>
      </c>
      <c r="H286" t="s">
        <v>33</v>
      </c>
      <c r="I286" t="s">
        <v>194</v>
      </c>
      <c r="J286" t="s">
        <v>134</v>
      </c>
      <c r="K286">
        <v>20</v>
      </c>
      <c r="L286">
        <v>482</v>
      </c>
      <c r="M286">
        <v>9640</v>
      </c>
      <c r="N286">
        <v>9640</v>
      </c>
      <c r="O286">
        <v>0</v>
      </c>
      <c r="P286" t="s">
        <v>26</v>
      </c>
      <c r="Q286">
        <v>2018</v>
      </c>
      <c r="R286" t="s">
        <v>41</v>
      </c>
      <c r="S286" t="s">
        <v>42</v>
      </c>
      <c r="T286" t="s">
        <v>43</v>
      </c>
    </row>
    <row r="287" spans="1:20" x14ac:dyDescent="0.35">
      <c r="A287" t="s">
        <v>18</v>
      </c>
      <c r="B287" t="s">
        <v>280</v>
      </c>
      <c r="C287" t="s">
        <v>281</v>
      </c>
      <c r="D287" t="s">
        <v>21</v>
      </c>
      <c r="E287">
        <v>52.253100000000003</v>
      </c>
      <c r="F287">
        <v>15.9178</v>
      </c>
      <c r="G287" t="s">
        <v>22</v>
      </c>
      <c r="H287" t="s">
        <v>23</v>
      </c>
      <c r="I287" t="s">
        <v>470</v>
      </c>
      <c r="J287" t="s">
        <v>86</v>
      </c>
      <c r="K287">
        <v>2</v>
      </c>
      <c r="L287">
        <v>634</v>
      </c>
      <c r="M287">
        <v>1268</v>
      </c>
      <c r="N287">
        <v>1268</v>
      </c>
      <c r="O287">
        <v>0</v>
      </c>
      <c r="P287" t="s">
        <v>26</v>
      </c>
      <c r="Q287">
        <v>2018</v>
      </c>
      <c r="R287" t="s">
        <v>52</v>
      </c>
      <c r="S287" t="s">
        <v>28</v>
      </c>
      <c r="T287" t="s">
        <v>29</v>
      </c>
    </row>
    <row r="288" spans="1:20" x14ac:dyDescent="0.35">
      <c r="A288" t="s">
        <v>18</v>
      </c>
      <c r="B288" t="s">
        <v>436</v>
      </c>
      <c r="C288" t="s">
        <v>437</v>
      </c>
      <c r="D288" t="s">
        <v>21</v>
      </c>
      <c r="E288">
        <v>52.588299999999997</v>
      </c>
      <c r="F288">
        <v>14.666700000000001</v>
      </c>
      <c r="G288" t="s">
        <v>22</v>
      </c>
      <c r="H288" t="s">
        <v>79</v>
      </c>
      <c r="I288" t="s">
        <v>159</v>
      </c>
      <c r="J288" t="s">
        <v>47</v>
      </c>
      <c r="K288">
        <v>2</v>
      </c>
      <c r="L288">
        <v>26</v>
      </c>
      <c r="M288">
        <v>52</v>
      </c>
      <c r="N288">
        <v>52</v>
      </c>
      <c r="O288">
        <v>0</v>
      </c>
      <c r="P288" t="s">
        <v>26</v>
      </c>
      <c r="Q288">
        <v>2018</v>
      </c>
      <c r="R288" t="s">
        <v>63</v>
      </c>
      <c r="S288" t="s">
        <v>28</v>
      </c>
      <c r="T288" t="s">
        <v>29</v>
      </c>
    </row>
    <row r="289" spans="1:20" x14ac:dyDescent="0.35">
      <c r="A289" t="s">
        <v>18</v>
      </c>
      <c r="B289" t="s">
        <v>319</v>
      </c>
      <c r="C289" t="s">
        <v>320</v>
      </c>
      <c r="D289" t="s">
        <v>21</v>
      </c>
      <c r="E289">
        <v>52.2333</v>
      </c>
      <c r="F289">
        <v>19.366700000000002</v>
      </c>
      <c r="G289" t="s">
        <v>32</v>
      </c>
      <c r="H289" t="s">
        <v>33</v>
      </c>
      <c r="I289" t="s">
        <v>367</v>
      </c>
      <c r="J289" t="s">
        <v>134</v>
      </c>
      <c r="K289">
        <v>6</v>
      </c>
      <c r="L289">
        <v>187</v>
      </c>
      <c r="M289">
        <v>1122</v>
      </c>
      <c r="N289">
        <v>1122</v>
      </c>
      <c r="O289">
        <v>0</v>
      </c>
      <c r="P289" t="s">
        <v>26</v>
      </c>
      <c r="Q289">
        <v>2018</v>
      </c>
      <c r="R289" t="s">
        <v>27</v>
      </c>
      <c r="S289" t="s">
        <v>28</v>
      </c>
      <c r="T289" t="s">
        <v>29</v>
      </c>
    </row>
    <row r="290" spans="1:20" x14ac:dyDescent="0.35">
      <c r="A290" t="s">
        <v>18</v>
      </c>
      <c r="B290" t="s">
        <v>536</v>
      </c>
      <c r="C290" t="s">
        <v>537</v>
      </c>
      <c r="D290" t="s">
        <v>21</v>
      </c>
      <c r="E290">
        <v>52.444600000000001</v>
      </c>
      <c r="F290">
        <v>15.577999999999999</v>
      </c>
      <c r="G290" t="s">
        <v>32</v>
      </c>
      <c r="H290" t="s">
        <v>39</v>
      </c>
      <c r="I290" t="s">
        <v>538</v>
      </c>
      <c r="J290" t="s">
        <v>47</v>
      </c>
      <c r="K290">
        <v>2</v>
      </c>
      <c r="L290">
        <v>555</v>
      </c>
      <c r="M290">
        <v>1110</v>
      </c>
      <c r="N290">
        <v>1110</v>
      </c>
      <c r="O290">
        <v>0</v>
      </c>
      <c r="P290" t="s">
        <v>26</v>
      </c>
      <c r="Q290">
        <v>2018</v>
      </c>
      <c r="R290" t="s">
        <v>41</v>
      </c>
      <c r="S290" t="s">
        <v>42</v>
      </c>
      <c r="T290" t="s">
        <v>43</v>
      </c>
    </row>
    <row r="291" spans="1:20" x14ac:dyDescent="0.35">
      <c r="A291" t="s">
        <v>18</v>
      </c>
      <c r="B291" t="s">
        <v>240</v>
      </c>
      <c r="C291" t="s">
        <v>241</v>
      </c>
      <c r="D291" t="s">
        <v>21</v>
      </c>
      <c r="E291">
        <v>52.2453</v>
      </c>
      <c r="F291">
        <v>19.6236</v>
      </c>
      <c r="G291" t="s">
        <v>22</v>
      </c>
      <c r="H291" t="s">
        <v>79</v>
      </c>
      <c r="I291" t="s">
        <v>40</v>
      </c>
      <c r="J291" t="s">
        <v>35</v>
      </c>
      <c r="K291">
        <v>2</v>
      </c>
      <c r="L291">
        <v>66</v>
      </c>
      <c r="M291">
        <v>132</v>
      </c>
      <c r="N291">
        <v>132</v>
      </c>
      <c r="O291">
        <v>0</v>
      </c>
      <c r="P291" t="s">
        <v>26</v>
      </c>
      <c r="Q291">
        <v>2018</v>
      </c>
      <c r="R291" t="s">
        <v>27</v>
      </c>
      <c r="S291" t="s">
        <v>28</v>
      </c>
      <c r="T291" t="s">
        <v>29</v>
      </c>
    </row>
    <row r="292" spans="1:20" x14ac:dyDescent="0.35">
      <c r="A292" t="s">
        <v>18</v>
      </c>
      <c r="B292" t="s">
        <v>412</v>
      </c>
      <c r="C292" t="s">
        <v>413</v>
      </c>
      <c r="D292" t="s">
        <v>21</v>
      </c>
      <c r="E292">
        <v>53.116700000000002</v>
      </c>
      <c r="F292">
        <v>18</v>
      </c>
      <c r="G292" t="s">
        <v>22</v>
      </c>
      <c r="H292" t="s">
        <v>23</v>
      </c>
      <c r="I292" t="s">
        <v>539</v>
      </c>
      <c r="J292" t="s">
        <v>95</v>
      </c>
      <c r="K292">
        <v>1</v>
      </c>
      <c r="L292">
        <v>618</v>
      </c>
      <c r="M292">
        <v>618</v>
      </c>
      <c r="N292">
        <v>618</v>
      </c>
      <c r="O292">
        <v>0</v>
      </c>
      <c r="P292" t="s">
        <v>26</v>
      </c>
      <c r="Q292">
        <v>2018</v>
      </c>
      <c r="R292" t="s">
        <v>41</v>
      </c>
      <c r="S292" t="s">
        <v>42</v>
      </c>
      <c r="T292" t="s">
        <v>43</v>
      </c>
    </row>
    <row r="293" spans="1:20" x14ac:dyDescent="0.35">
      <c r="A293" t="s">
        <v>18</v>
      </c>
      <c r="B293" t="s">
        <v>154</v>
      </c>
      <c r="C293" t="s">
        <v>155</v>
      </c>
      <c r="D293" t="s">
        <v>21</v>
      </c>
      <c r="E293">
        <v>52.1417</v>
      </c>
      <c r="F293">
        <v>20.716699999999999</v>
      </c>
      <c r="G293" t="s">
        <v>22</v>
      </c>
      <c r="H293" t="s">
        <v>23</v>
      </c>
      <c r="I293" t="s">
        <v>297</v>
      </c>
      <c r="J293" t="s">
        <v>86</v>
      </c>
      <c r="K293">
        <v>1</v>
      </c>
      <c r="L293">
        <v>318</v>
      </c>
      <c r="M293">
        <v>318</v>
      </c>
      <c r="N293">
        <v>318</v>
      </c>
      <c r="O293">
        <v>0</v>
      </c>
      <c r="P293" t="s">
        <v>26</v>
      </c>
      <c r="Q293">
        <v>2018</v>
      </c>
      <c r="R293" t="s">
        <v>105</v>
      </c>
      <c r="S293" t="s">
        <v>71</v>
      </c>
      <c r="T293" t="s">
        <v>72</v>
      </c>
    </row>
    <row r="294" spans="1:20" x14ac:dyDescent="0.35">
      <c r="A294" t="s">
        <v>18</v>
      </c>
      <c r="B294" t="s">
        <v>255</v>
      </c>
      <c r="C294" t="s">
        <v>256</v>
      </c>
      <c r="D294" t="s">
        <v>21</v>
      </c>
      <c r="E294">
        <v>52.183300000000003</v>
      </c>
      <c r="F294">
        <v>22.283300000000001</v>
      </c>
      <c r="G294" t="s">
        <v>32</v>
      </c>
      <c r="H294" t="s">
        <v>33</v>
      </c>
      <c r="I294" t="s">
        <v>538</v>
      </c>
      <c r="J294" t="s">
        <v>47</v>
      </c>
      <c r="K294">
        <v>1</v>
      </c>
      <c r="L294">
        <v>555</v>
      </c>
      <c r="M294">
        <v>555</v>
      </c>
      <c r="N294">
        <v>555</v>
      </c>
      <c r="O294">
        <v>0</v>
      </c>
      <c r="P294" t="s">
        <v>26</v>
      </c>
      <c r="Q294">
        <v>2018</v>
      </c>
      <c r="R294" t="s">
        <v>63</v>
      </c>
      <c r="S294" t="s">
        <v>28</v>
      </c>
      <c r="T294" t="s">
        <v>29</v>
      </c>
    </row>
    <row r="295" spans="1:20" x14ac:dyDescent="0.35">
      <c r="A295" t="s">
        <v>18</v>
      </c>
      <c r="B295" t="s">
        <v>504</v>
      </c>
      <c r="C295" t="s">
        <v>505</v>
      </c>
      <c r="D295" t="s">
        <v>21</v>
      </c>
      <c r="E295">
        <v>51.466700000000003</v>
      </c>
      <c r="F295">
        <v>22.6</v>
      </c>
      <c r="G295" t="s">
        <v>32</v>
      </c>
      <c r="H295" t="s">
        <v>39</v>
      </c>
      <c r="I295" t="s">
        <v>540</v>
      </c>
      <c r="J295" t="s">
        <v>134</v>
      </c>
      <c r="K295">
        <v>1</v>
      </c>
      <c r="L295">
        <v>478</v>
      </c>
      <c r="M295">
        <v>478</v>
      </c>
      <c r="N295">
        <v>478</v>
      </c>
      <c r="O295">
        <v>0</v>
      </c>
      <c r="P295" t="s">
        <v>26</v>
      </c>
      <c r="Q295">
        <v>2018</v>
      </c>
      <c r="R295" t="s">
        <v>27</v>
      </c>
      <c r="S295" t="s">
        <v>28</v>
      </c>
      <c r="T295" t="s">
        <v>29</v>
      </c>
    </row>
    <row r="296" spans="1:20" x14ac:dyDescent="0.35">
      <c r="A296" t="s">
        <v>18</v>
      </c>
      <c r="B296" t="s">
        <v>249</v>
      </c>
      <c r="C296" t="s">
        <v>250</v>
      </c>
      <c r="D296" t="s">
        <v>21</v>
      </c>
      <c r="E296">
        <v>52.124299999999998</v>
      </c>
      <c r="F296">
        <v>20.665400000000002</v>
      </c>
      <c r="G296" t="s">
        <v>32</v>
      </c>
      <c r="H296" t="s">
        <v>33</v>
      </c>
      <c r="I296" t="s">
        <v>541</v>
      </c>
      <c r="J296" t="s">
        <v>35</v>
      </c>
      <c r="K296">
        <v>20</v>
      </c>
      <c r="L296">
        <v>430</v>
      </c>
      <c r="M296">
        <v>8600</v>
      </c>
      <c r="N296">
        <v>8600</v>
      </c>
      <c r="O296">
        <v>0</v>
      </c>
      <c r="P296" t="s">
        <v>26</v>
      </c>
      <c r="Q296">
        <v>2018</v>
      </c>
      <c r="R296" t="s">
        <v>105</v>
      </c>
      <c r="S296" t="s">
        <v>71</v>
      </c>
      <c r="T296" t="s">
        <v>72</v>
      </c>
    </row>
    <row r="297" spans="1:20" x14ac:dyDescent="0.35">
      <c r="A297" t="s">
        <v>542</v>
      </c>
      <c r="B297" t="s">
        <v>543</v>
      </c>
      <c r="C297" t="s">
        <v>544</v>
      </c>
      <c r="D297" t="s">
        <v>264</v>
      </c>
      <c r="E297">
        <v>50.816699999999997</v>
      </c>
      <c r="F297">
        <v>8.7667000000000002</v>
      </c>
      <c r="G297" t="s">
        <v>32</v>
      </c>
      <c r="H297" t="s">
        <v>33</v>
      </c>
      <c r="I297" t="s">
        <v>159</v>
      </c>
      <c r="J297" t="s">
        <v>47</v>
      </c>
      <c r="K297">
        <v>3</v>
      </c>
      <c r="L297">
        <v>26</v>
      </c>
      <c r="M297">
        <v>78</v>
      </c>
      <c r="N297">
        <v>78</v>
      </c>
      <c r="O297">
        <v>0</v>
      </c>
      <c r="P297" t="s">
        <v>350</v>
      </c>
      <c r="Q297">
        <v>2017</v>
      </c>
      <c r="R297" t="s">
        <v>27</v>
      </c>
      <c r="S297" t="s">
        <v>28</v>
      </c>
      <c r="T297" t="s">
        <v>29</v>
      </c>
    </row>
    <row r="298" spans="1:20" x14ac:dyDescent="0.35">
      <c r="A298" t="s">
        <v>542</v>
      </c>
      <c r="B298" t="s">
        <v>545</v>
      </c>
      <c r="C298" t="s">
        <v>546</v>
      </c>
      <c r="D298" t="s">
        <v>264</v>
      </c>
      <c r="E298">
        <v>52.411700000000003</v>
      </c>
      <c r="F298">
        <v>12.556100000000001</v>
      </c>
      <c r="G298" t="s">
        <v>22</v>
      </c>
      <c r="H298" t="s">
        <v>79</v>
      </c>
      <c r="I298" t="s">
        <v>245</v>
      </c>
      <c r="J298" t="s">
        <v>86</v>
      </c>
      <c r="K298">
        <v>20</v>
      </c>
      <c r="L298">
        <v>269</v>
      </c>
      <c r="M298">
        <v>5380</v>
      </c>
      <c r="N298">
        <v>5380</v>
      </c>
      <c r="O298">
        <v>0</v>
      </c>
      <c r="P298" t="s">
        <v>350</v>
      </c>
      <c r="Q298">
        <v>2017</v>
      </c>
      <c r="R298" t="s">
        <v>105</v>
      </c>
      <c r="S298" t="s">
        <v>71</v>
      </c>
      <c r="T298" t="s">
        <v>72</v>
      </c>
    </row>
    <row r="299" spans="1:20" x14ac:dyDescent="0.35">
      <c r="A299" t="s">
        <v>542</v>
      </c>
      <c r="B299" t="s">
        <v>547</v>
      </c>
      <c r="C299" t="s">
        <v>548</v>
      </c>
      <c r="D299" t="s">
        <v>264</v>
      </c>
      <c r="E299">
        <v>50.1</v>
      </c>
      <c r="F299">
        <v>11.433299999999999</v>
      </c>
      <c r="G299" t="s">
        <v>32</v>
      </c>
      <c r="H299" t="s">
        <v>33</v>
      </c>
      <c r="I299" t="s">
        <v>473</v>
      </c>
      <c r="J299" t="s">
        <v>134</v>
      </c>
      <c r="K299">
        <v>10</v>
      </c>
      <c r="L299">
        <v>474</v>
      </c>
      <c r="M299">
        <v>4740</v>
      </c>
      <c r="N299">
        <v>4740</v>
      </c>
      <c r="O299">
        <v>0</v>
      </c>
      <c r="P299" t="s">
        <v>350</v>
      </c>
      <c r="Q299">
        <v>2017</v>
      </c>
      <c r="R299" t="s">
        <v>52</v>
      </c>
      <c r="S299" t="s">
        <v>28</v>
      </c>
      <c r="T299" t="s">
        <v>29</v>
      </c>
    </row>
    <row r="300" spans="1:20" x14ac:dyDescent="0.35">
      <c r="A300" t="s">
        <v>542</v>
      </c>
      <c r="B300" t="s">
        <v>549</v>
      </c>
      <c r="C300" t="s">
        <v>550</v>
      </c>
      <c r="D300" t="s">
        <v>264</v>
      </c>
      <c r="E300">
        <v>49.3</v>
      </c>
      <c r="F300">
        <v>10.583299999999999</v>
      </c>
      <c r="G300" t="s">
        <v>22</v>
      </c>
      <c r="H300" t="s">
        <v>79</v>
      </c>
      <c r="I300" t="s">
        <v>188</v>
      </c>
      <c r="J300" t="s">
        <v>47</v>
      </c>
      <c r="K300">
        <v>10</v>
      </c>
      <c r="L300">
        <v>60</v>
      </c>
      <c r="M300">
        <v>600</v>
      </c>
      <c r="N300">
        <v>600</v>
      </c>
      <c r="O300">
        <v>0</v>
      </c>
      <c r="P300" t="s">
        <v>350</v>
      </c>
      <c r="Q300">
        <v>2017</v>
      </c>
      <c r="R300" t="s">
        <v>41</v>
      </c>
      <c r="S300" t="s">
        <v>42</v>
      </c>
      <c r="T300" t="s">
        <v>43</v>
      </c>
    </row>
    <row r="301" spans="1:20" x14ac:dyDescent="0.35">
      <c r="A301" t="s">
        <v>542</v>
      </c>
      <c r="B301" t="s">
        <v>551</v>
      </c>
      <c r="C301" t="s">
        <v>552</v>
      </c>
      <c r="D301" t="s">
        <v>264</v>
      </c>
      <c r="E301">
        <v>49.2</v>
      </c>
      <c r="F301">
        <v>7.6</v>
      </c>
      <c r="G301" t="s">
        <v>22</v>
      </c>
      <c r="H301" t="s">
        <v>79</v>
      </c>
      <c r="I301" t="s">
        <v>489</v>
      </c>
      <c r="J301" t="s">
        <v>95</v>
      </c>
      <c r="K301">
        <v>5</v>
      </c>
      <c r="L301">
        <v>726</v>
      </c>
      <c r="M301">
        <v>3630</v>
      </c>
      <c r="N301">
        <v>3630</v>
      </c>
      <c r="O301">
        <v>0</v>
      </c>
      <c r="P301" t="s">
        <v>350</v>
      </c>
      <c r="Q301">
        <v>2017</v>
      </c>
      <c r="R301" t="s">
        <v>105</v>
      </c>
      <c r="S301" t="s">
        <v>71</v>
      </c>
      <c r="T301" t="s">
        <v>72</v>
      </c>
    </row>
    <row r="302" spans="1:20" x14ac:dyDescent="0.35">
      <c r="A302" t="s">
        <v>542</v>
      </c>
      <c r="B302" t="s">
        <v>553</v>
      </c>
      <c r="C302" t="s">
        <v>554</v>
      </c>
      <c r="D302" t="s">
        <v>264</v>
      </c>
      <c r="E302">
        <v>52.216700000000003</v>
      </c>
      <c r="F302">
        <v>8.9332999999999991</v>
      </c>
      <c r="G302" t="s">
        <v>22</v>
      </c>
      <c r="H302" t="s">
        <v>23</v>
      </c>
      <c r="I302" t="s">
        <v>162</v>
      </c>
      <c r="J302" t="s">
        <v>25</v>
      </c>
      <c r="K302">
        <v>10</v>
      </c>
      <c r="L302">
        <v>452</v>
      </c>
      <c r="M302">
        <v>4520</v>
      </c>
      <c r="N302">
        <v>4520</v>
      </c>
      <c r="O302">
        <v>0</v>
      </c>
      <c r="P302" t="s">
        <v>350</v>
      </c>
      <c r="Q302">
        <v>2017</v>
      </c>
      <c r="R302" t="s">
        <v>76</v>
      </c>
      <c r="S302" t="s">
        <v>42</v>
      </c>
      <c r="T302" t="s">
        <v>43</v>
      </c>
    </row>
    <row r="303" spans="1:20" x14ac:dyDescent="0.35">
      <c r="A303" t="s">
        <v>542</v>
      </c>
      <c r="B303" t="s">
        <v>555</v>
      </c>
      <c r="C303" t="s">
        <v>556</v>
      </c>
      <c r="D303" t="s">
        <v>264</v>
      </c>
      <c r="E303">
        <v>51.937800000000003</v>
      </c>
      <c r="F303">
        <v>8.8833000000000002</v>
      </c>
      <c r="G303" t="s">
        <v>22</v>
      </c>
      <c r="H303" t="s">
        <v>79</v>
      </c>
      <c r="I303" t="s">
        <v>265</v>
      </c>
      <c r="J303" t="s">
        <v>134</v>
      </c>
      <c r="K303">
        <v>10</v>
      </c>
      <c r="L303">
        <v>713</v>
      </c>
      <c r="M303">
        <v>7130</v>
      </c>
      <c r="N303">
        <v>7130</v>
      </c>
      <c r="O303">
        <v>0</v>
      </c>
      <c r="P303" t="s">
        <v>350</v>
      </c>
      <c r="Q303">
        <v>2017</v>
      </c>
      <c r="R303" t="s">
        <v>27</v>
      </c>
      <c r="S303" t="s">
        <v>28</v>
      </c>
      <c r="T303" t="s">
        <v>29</v>
      </c>
    </row>
    <row r="304" spans="1:20" x14ac:dyDescent="0.35">
      <c r="A304" t="s">
        <v>542</v>
      </c>
      <c r="B304" t="s">
        <v>557</v>
      </c>
      <c r="C304" t="s">
        <v>558</v>
      </c>
      <c r="D304" t="s">
        <v>264</v>
      </c>
      <c r="E304">
        <v>52.964700000000001</v>
      </c>
      <c r="F304">
        <v>10.565799999999999</v>
      </c>
      <c r="G304" t="s">
        <v>22</v>
      </c>
      <c r="H304" t="s">
        <v>79</v>
      </c>
      <c r="I304" t="s">
        <v>231</v>
      </c>
      <c r="J304" t="s">
        <v>134</v>
      </c>
      <c r="K304">
        <v>20</v>
      </c>
      <c r="L304">
        <v>206</v>
      </c>
      <c r="M304">
        <v>4120</v>
      </c>
      <c r="N304">
        <v>4120</v>
      </c>
      <c r="O304">
        <v>0</v>
      </c>
      <c r="P304" t="s">
        <v>350</v>
      </c>
      <c r="Q304">
        <v>2017</v>
      </c>
      <c r="R304" t="s">
        <v>119</v>
      </c>
      <c r="S304" t="s">
        <v>71</v>
      </c>
      <c r="T304" t="s">
        <v>72</v>
      </c>
    </row>
    <row r="305" spans="1:20" x14ac:dyDescent="0.35">
      <c r="A305" t="s">
        <v>542</v>
      </c>
      <c r="B305" t="s">
        <v>559</v>
      </c>
      <c r="C305" t="s">
        <v>560</v>
      </c>
      <c r="D305" t="s">
        <v>264</v>
      </c>
      <c r="E305">
        <v>48.283299999999997</v>
      </c>
      <c r="F305">
        <v>9.7235999999999994</v>
      </c>
      <c r="G305" t="s">
        <v>32</v>
      </c>
      <c r="H305" t="s">
        <v>33</v>
      </c>
      <c r="I305" t="s">
        <v>561</v>
      </c>
      <c r="J305" t="s">
        <v>25</v>
      </c>
      <c r="K305">
        <v>20</v>
      </c>
      <c r="L305">
        <v>64</v>
      </c>
      <c r="M305">
        <v>1280</v>
      </c>
      <c r="N305">
        <v>1280</v>
      </c>
      <c r="O305">
        <v>0</v>
      </c>
      <c r="P305" t="s">
        <v>350</v>
      </c>
      <c r="Q305">
        <v>2017</v>
      </c>
      <c r="R305" t="s">
        <v>41</v>
      </c>
      <c r="S305" t="s">
        <v>42</v>
      </c>
      <c r="T305" t="s">
        <v>43</v>
      </c>
    </row>
    <row r="306" spans="1:20" x14ac:dyDescent="0.35">
      <c r="A306" t="s">
        <v>542</v>
      </c>
      <c r="B306" t="s">
        <v>562</v>
      </c>
      <c r="C306" t="s">
        <v>563</v>
      </c>
      <c r="D306" t="s">
        <v>264</v>
      </c>
      <c r="E306">
        <v>48.714399999999998</v>
      </c>
      <c r="F306">
        <v>8.7375000000000007</v>
      </c>
      <c r="G306" t="s">
        <v>22</v>
      </c>
      <c r="H306" t="s">
        <v>23</v>
      </c>
      <c r="I306" t="s">
        <v>75</v>
      </c>
      <c r="J306" t="s">
        <v>47</v>
      </c>
      <c r="K306">
        <v>5</v>
      </c>
      <c r="L306">
        <v>243</v>
      </c>
      <c r="M306">
        <v>1215</v>
      </c>
      <c r="N306">
        <v>1215</v>
      </c>
      <c r="O306">
        <v>0</v>
      </c>
      <c r="P306" t="s">
        <v>350</v>
      </c>
      <c r="Q306">
        <v>2017</v>
      </c>
      <c r="R306" t="s">
        <v>41</v>
      </c>
      <c r="S306" t="s">
        <v>42</v>
      </c>
      <c r="T306" t="s">
        <v>43</v>
      </c>
    </row>
    <row r="307" spans="1:20" x14ac:dyDescent="0.35">
      <c r="A307" t="s">
        <v>542</v>
      </c>
      <c r="B307" t="s">
        <v>564</v>
      </c>
      <c r="C307" t="s">
        <v>565</v>
      </c>
      <c r="D307" t="s">
        <v>264</v>
      </c>
      <c r="E307">
        <v>52.212499999999999</v>
      </c>
      <c r="F307">
        <v>7.0416999999999996</v>
      </c>
      <c r="G307" t="s">
        <v>32</v>
      </c>
      <c r="H307" t="s">
        <v>39</v>
      </c>
      <c r="I307" t="s">
        <v>90</v>
      </c>
      <c r="J307" t="s">
        <v>25</v>
      </c>
      <c r="K307">
        <v>10</v>
      </c>
      <c r="L307">
        <v>785</v>
      </c>
      <c r="M307">
        <v>7850</v>
      </c>
      <c r="N307">
        <v>7850</v>
      </c>
      <c r="O307">
        <v>0</v>
      </c>
      <c r="P307" t="s">
        <v>350</v>
      </c>
      <c r="Q307">
        <v>2017</v>
      </c>
      <c r="R307" t="s">
        <v>82</v>
      </c>
      <c r="S307" t="s">
        <v>58</v>
      </c>
      <c r="T307" t="s">
        <v>59</v>
      </c>
    </row>
    <row r="308" spans="1:20" x14ac:dyDescent="0.35">
      <c r="A308" t="s">
        <v>542</v>
      </c>
      <c r="B308" t="s">
        <v>566</v>
      </c>
      <c r="C308" t="s">
        <v>567</v>
      </c>
      <c r="D308" t="s">
        <v>264</v>
      </c>
      <c r="E308">
        <v>53.066699999999997</v>
      </c>
      <c r="F308">
        <v>7.4</v>
      </c>
      <c r="G308" t="s">
        <v>22</v>
      </c>
      <c r="H308" t="s">
        <v>23</v>
      </c>
      <c r="I308" t="s">
        <v>94</v>
      </c>
      <c r="J308" t="s">
        <v>95</v>
      </c>
      <c r="K308">
        <v>30</v>
      </c>
      <c r="L308">
        <v>286</v>
      </c>
      <c r="M308">
        <v>8580</v>
      </c>
      <c r="N308">
        <v>8580</v>
      </c>
      <c r="O308">
        <v>0</v>
      </c>
      <c r="P308" t="s">
        <v>350</v>
      </c>
      <c r="Q308">
        <v>2017</v>
      </c>
      <c r="R308" t="s">
        <v>87</v>
      </c>
      <c r="S308" t="s">
        <v>42</v>
      </c>
      <c r="T308" t="s">
        <v>43</v>
      </c>
    </row>
    <row r="309" spans="1:20" x14ac:dyDescent="0.35">
      <c r="A309" t="s">
        <v>542</v>
      </c>
      <c r="B309" t="s">
        <v>568</v>
      </c>
      <c r="C309" t="s">
        <v>569</v>
      </c>
      <c r="D309" t="s">
        <v>264</v>
      </c>
      <c r="E309">
        <v>51.666699999999999</v>
      </c>
      <c r="F309">
        <v>7.1166999999999998</v>
      </c>
      <c r="G309" t="s">
        <v>22</v>
      </c>
      <c r="H309" t="s">
        <v>23</v>
      </c>
      <c r="I309" t="s">
        <v>204</v>
      </c>
      <c r="J309" t="s">
        <v>25</v>
      </c>
      <c r="K309">
        <v>50</v>
      </c>
      <c r="L309">
        <v>99</v>
      </c>
      <c r="M309">
        <v>4950</v>
      </c>
      <c r="N309">
        <v>4950</v>
      </c>
      <c r="O309">
        <v>0</v>
      </c>
      <c r="P309" t="s">
        <v>350</v>
      </c>
      <c r="Q309">
        <v>2017</v>
      </c>
      <c r="R309" t="s">
        <v>36</v>
      </c>
      <c r="S309" t="s">
        <v>28</v>
      </c>
      <c r="T309" t="s">
        <v>29</v>
      </c>
    </row>
    <row r="310" spans="1:20" x14ac:dyDescent="0.35">
      <c r="A310" t="s">
        <v>542</v>
      </c>
      <c r="B310" t="s">
        <v>570</v>
      </c>
      <c r="C310" t="s">
        <v>571</v>
      </c>
      <c r="D310" t="s">
        <v>264</v>
      </c>
      <c r="E310">
        <v>52.291699999999999</v>
      </c>
      <c r="F310">
        <v>13.625</v>
      </c>
      <c r="G310" t="s">
        <v>32</v>
      </c>
      <c r="H310" t="s">
        <v>33</v>
      </c>
      <c r="I310" t="s">
        <v>480</v>
      </c>
      <c r="J310" t="s">
        <v>35</v>
      </c>
      <c r="K310">
        <v>10</v>
      </c>
      <c r="L310">
        <v>688</v>
      </c>
      <c r="M310">
        <v>6880</v>
      </c>
      <c r="N310">
        <v>6880</v>
      </c>
      <c r="O310">
        <v>0</v>
      </c>
      <c r="P310" t="s">
        <v>350</v>
      </c>
      <c r="Q310">
        <v>2017</v>
      </c>
      <c r="R310" t="s">
        <v>76</v>
      </c>
      <c r="S310" t="s">
        <v>42</v>
      </c>
      <c r="T310" t="s">
        <v>43</v>
      </c>
    </row>
    <row r="311" spans="1:20" x14ac:dyDescent="0.35">
      <c r="A311" t="s">
        <v>542</v>
      </c>
      <c r="B311" t="s">
        <v>572</v>
      </c>
      <c r="C311" t="s">
        <v>573</v>
      </c>
      <c r="D311" t="s">
        <v>264</v>
      </c>
      <c r="E311">
        <v>50.645000000000003</v>
      </c>
      <c r="F311">
        <v>7.2268999999999997</v>
      </c>
      <c r="G311" t="s">
        <v>32</v>
      </c>
      <c r="H311" t="s">
        <v>39</v>
      </c>
      <c r="I311" t="s">
        <v>574</v>
      </c>
      <c r="J311" t="s">
        <v>25</v>
      </c>
      <c r="K311">
        <v>-10</v>
      </c>
      <c r="L311">
        <v>187</v>
      </c>
      <c r="M311">
        <v>-1870</v>
      </c>
      <c r="N311">
        <v>0</v>
      </c>
      <c r="O311">
        <v>-1870</v>
      </c>
      <c r="P311" t="s">
        <v>350</v>
      </c>
      <c r="Q311">
        <v>2017</v>
      </c>
      <c r="R311" t="s">
        <v>87</v>
      </c>
      <c r="S311" t="s">
        <v>42</v>
      </c>
      <c r="T311" t="s">
        <v>43</v>
      </c>
    </row>
    <row r="312" spans="1:20" x14ac:dyDescent="0.35">
      <c r="A312" t="s">
        <v>542</v>
      </c>
      <c r="B312" t="s">
        <v>575</v>
      </c>
      <c r="C312" t="s">
        <v>576</v>
      </c>
      <c r="D312" t="s">
        <v>264</v>
      </c>
      <c r="E312">
        <v>48.631399999999999</v>
      </c>
      <c r="F312">
        <v>8.0739000000000001</v>
      </c>
      <c r="G312" t="s">
        <v>32</v>
      </c>
      <c r="H312" t="s">
        <v>33</v>
      </c>
      <c r="I312" t="s">
        <v>577</v>
      </c>
      <c r="J312" t="s">
        <v>25</v>
      </c>
      <c r="K312">
        <v>500</v>
      </c>
      <c r="L312">
        <v>180</v>
      </c>
      <c r="M312">
        <v>90000</v>
      </c>
      <c r="N312">
        <v>90000</v>
      </c>
      <c r="O312">
        <v>0</v>
      </c>
      <c r="P312" t="s">
        <v>350</v>
      </c>
      <c r="Q312">
        <v>2017</v>
      </c>
      <c r="R312" t="s">
        <v>82</v>
      </c>
      <c r="S312" t="s">
        <v>58</v>
      </c>
      <c r="T312" t="s">
        <v>59</v>
      </c>
    </row>
    <row r="313" spans="1:20" x14ac:dyDescent="0.35">
      <c r="A313" t="s">
        <v>578</v>
      </c>
      <c r="B313" t="s">
        <v>579</v>
      </c>
      <c r="C313" t="s">
        <v>580</v>
      </c>
      <c r="D313" t="s">
        <v>264</v>
      </c>
      <c r="E313">
        <v>48.722799999999999</v>
      </c>
      <c r="F313">
        <v>9.2630999999999997</v>
      </c>
      <c r="G313" t="s">
        <v>22</v>
      </c>
      <c r="H313" t="s">
        <v>79</v>
      </c>
      <c r="I313" t="s">
        <v>104</v>
      </c>
      <c r="J313" t="s">
        <v>95</v>
      </c>
      <c r="K313">
        <v>20</v>
      </c>
      <c r="L313">
        <v>548</v>
      </c>
      <c r="M313">
        <v>10960</v>
      </c>
      <c r="N313">
        <v>10960</v>
      </c>
      <c r="O313">
        <v>0</v>
      </c>
      <c r="P313" t="s">
        <v>91</v>
      </c>
      <c r="Q313">
        <v>2017</v>
      </c>
      <c r="R313" t="s">
        <v>115</v>
      </c>
      <c r="S313" t="s">
        <v>58</v>
      </c>
      <c r="T313" t="s">
        <v>59</v>
      </c>
    </row>
    <row r="314" spans="1:20" x14ac:dyDescent="0.35">
      <c r="A314" t="s">
        <v>578</v>
      </c>
      <c r="B314" t="s">
        <v>581</v>
      </c>
      <c r="C314" t="s">
        <v>582</v>
      </c>
      <c r="D314" t="s">
        <v>264</v>
      </c>
      <c r="E314">
        <v>51.08</v>
      </c>
      <c r="F314">
        <v>6.3155999999999999</v>
      </c>
      <c r="G314" t="s">
        <v>32</v>
      </c>
      <c r="H314" t="s">
        <v>33</v>
      </c>
      <c r="I314" t="s">
        <v>577</v>
      </c>
      <c r="J314" t="s">
        <v>25</v>
      </c>
      <c r="K314">
        <v>20</v>
      </c>
      <c r="L314">
        <v>180</v>
      </c>
      <c r="M314">
        <v>3600</v>
      </c>
      <c r="N314">
        <v>3600</v>
      </c>
      <c r="O314">
        <v>0</v>
      </c>
      <c r="P314" t="s">
        <v>350</v>
      </c>
      <c r="Q314">
        <v>2017</v>
      </c>
      <c r="R314" t="s">
        <v>115</v>
      </c>
      <c r="S314" t="s">
        <v>58</v>
      </c>
      <c r="T314" t="s">
        <v>59</v>
      </c>
    </row>
    <row r="315" spans="1:20" x14ac:dyDescent="0.35">
      <c r="A315" t="s">
        <v>578</v>
      </c>
      <c r="B315" t="s">
        <v>583</v>
      </c>
      <c r="C315" t="s">
        <v>584</v>
      </c>
      <c r="D315" t="s">
        <v>264</v>
      </c>
      <c r="E315">
        <v>52.666699999999999</v>
      </c>
      <c r="F315">
        <v>8.2385999999999999</v>
      </c>
      <c r="G315" t="s">
        <v>22</v>
      </c>
      <c r="H315" t="s">
        <v>79</v>
      </c>
      <c r="I315" t="s">
        <v>374</v>
      </c>
      <c r="J315" t="s">
        <v>86</v>
      </c>
      <c r="K315">
        <v>10</v>
      </c>
      <c r="L315">
        <v>535</v>
      </c>
      <c r="M315">
        <v>5350</v>
      </c>
      <c r="N315">
        <v>5350</v>
      </c>
      <c r="O315">
        <v>0</v>
      </c>
      <c r="P315" t="s">
        <v>350</v>
      </c>
      <c r="Q315">
        <v>2017</v>
      </c>
      <c r="R315" t="s">
        <v>119</v>
      </c>
      <c r="S315" t="s">
        <v>71</v>
      </c>
      <c r="T315" t="s">
        <v>72</v>
      </c>
    </row>
    <row r="316" spans="1:20" x14ac:dyDescent="0.35">
      <c r="A316" t="s">
        <v>578</v>
      </c>
      <c r="B316" t="s">
        <v>585</v>
      </c>
      <c r="C316" t="s">
        <v>586</v>
      </c>
      <c r="D316" t="s">
        <v>264</v>
      </c>
      <c r="E316">
        <v>49.7517</v>
      </c>
      <c r="F316">
        <v>8.1160999999999994</v>
      </c>
      <c r="G316" t="s">
        <v>22</v>
      </c>
      <c r="H316" t="s">
        <v>79</v>
      </c>
      <c r="I316" t="s">
        <v>292</v>
      </c>
      <c r="J316" t="s">
        <v>47</v>
      </c>
      <c r="K316">
        <v>20</v>
      </c>
      <c r="L316">
        <v>298</v>
      </c>
      <c r="M316">
        <v>5960</v>
      </c>
      <c r="N316">
        <v>5960</v>
      </c>
      <c r="O316">
        <v>0</v>
      </c>
      <c r="P316" t="s">
        <v>91</v>
      </c>
      <c r="Q316">
        <v>2017</v>
      </c>
      <c r="R316" t="s">
        <v>52</v>
      </c>
      <c r="S316" t="s">
        <v>28</v>
      </c>
      <c r="T316" t="s">
        <v>29</v>
      </c>
    </row>
    <row r="317" spans="1:20" x14ac:dyDescent="0.35">
      <c r="A317" t="s">
        <v>578</v>
      </c>
      <c r="B317" t="s">
        <v>587</v>
      </c>
      <c r="C317" t="s">
        <v>588</v>
      </c>
      <c r="D317" t="s">
        <v>264</v>
      </c>
      <c r="E317">
        <v>49.681100000000001</v>
      </c>
      <c r="F317">
        <v>8.6227999999999998</v>
      </c>
      <c r="G317" t="s">
        <v>32</v>
      </c>
      <c r="H317" t="s">
        <v>33</v>
      </c>
      <c r="I317" t="s">
        <v>148</v>
      </c>
      <c r="J317" t="s">
        <v>86</v>
      </c>
      <c r="K317">
        <v>20</v>
      </c>
      <c r="L317">
        <v>692</v>
      </c>
      <c r="M317">
        <v>13840</v>
      </c>
      <c r="N317">
        <v>13840</v>
      </c>
      <c r="O317">
        <v>0</v>
      </c>
      <c r="P317" t="s">
        <v>350</v>
      </c>
      <c r="Q317">
        <v>2017</v>
      </c>
      <c r="R317" t="s">
        <v>82</v>
      </c>
      <c r="S317" t="s">
        <v>58</v>
      </c>
      <c r="T317" t="s">
        <v>59</v>
      </c>
    </row>
    <row r="318" spans="1:20" x14ac:dyDescent="0.35">
      <c r="A318" t="s">
        <v>542</v>
      </c>
      <c r="B318" t="s">
        <v>589</v>
      </c>
      <c r="C318" t="s">
        <v>590</v>
      </c>
      <c r="D318" t="s">
        <v>264</v>
      </c>
      <c r="E318">
        <v>48.283299999999997</v>
      </c>
      <c r="F318">
        <v>11.566700000000001</v>
      </c>
      <c r="G318" t="s">
        <v>32</v>
      </c>
      <c r="H318" t="s">
        <v>33</v>
      </c>
      <c r="I318" t="s">
        <v>345</v>
      </c>
      <c r="J318" t="s">
        <v>35</v>
      </c>
      <c r="K318">
        <v>5</v>
      </c>
      <c r="L318">
        <v>773</v>
      </c>
      <c r="M318">
        <v>3865</v>
      </c>
      <c r="N318">
        <v>3865</v>
      </c>
      <c r="O318">
        <v>0</v>
      </c>
      <c r="P318" t="s">
        <v>343</v>
      </c>
      <c r="Q318">
        <v>2017</v>
      </c>
      <c r="R318" t="s">
        <v>27</v>
      </c>
      <c r="S318" t="s">
        <v>28</v>
      </c>
      <c r="T318" t="s">
        <v>29</v>
      </c>
    </row>
    <row r="319" spans="1:20" x14ac:dyDescent="0.35">
      <c r="A319" t="s">
        <v>542</v>
      </c>
      <c r="B319" t="s">
        <v>591</v>
      </c>
      <c r="C319" t="s">
        <v>592</v>
      </c>
      <c r="D319" t="s">
        <v>264</v>
      </c>
      <c r="E319">
        <v>49.537999999999997</v>
      </c>
      <c r="F319">
        <v>8.5792000000000002</v>
      </c>
      <c r="G319" t="s">
        <v>32</v>
      </c>
      <c r="H319" t="s">
        <v>39</v>
      </c>
      <c r="I319" t="s">
        <v>593</v>
      </c>
      <c r="J319" t="s">
        <v>86</v>
      </c>
      <c r="K319">
        <v>2</v>
      </c>
      <c r="L319">
        <v>22</v>
      </c>
      <c r="M319">
        <v>44</v>
      </c>
      <c r="N319">
        <v>44</v>
      </c>
      <c r="O319">
        <v>0</v>
      </c>
      <c r="P319" t="s">
        <v>343</v>
      </c>
      <c r="Q319">
        <v>2017</v>
      </c>
      <c r="R319" t="s">
        <v>105</v>
      </c>
      <c r="S319" t="s">
        <v>71</v>
      </c>
      <c r="T319" t="s">
        <v>72</v>
      </c>
    </row>
    <row r="320" spans="1:20" x14ac:dyDescent="0.35">
      <c r="A320" t="s">
        <v>542</v>
      </c>
      <c r="B320" t="s">
        <v>594</v>
      </c>
      <c r="C320" t="s">
        <v>595</v>
      </c>
      <c r="D320" t="s">
        <v>264</v>
      </c>
      <c r="E320">
        <v>52.625599999999999</v>
      </c>
      <c r="F320">
        <v>10.0825</v>
      </c>
      <c r="G320" t="s">
        <v>32</v>
      </c>
      <c r="H320" t="s">
        <v>33</v>
      </c>
      <c r="I320" t="s">
        <v>494</v>
      </c>
      <c r="J320" t="s">
        <v>86</v>
      </c>
      <c r="K320">
        <v>500</v>
      </c>
      <c r="L320">
        <v>469</v>
      </c>
      <c r="M320">
        <v>234500</v>
      </c>
      <c r="N320">
        <v>234500</v>
      </c>
      <c r="O320">
        <v>0</v>
      </c>
      <c r="P320" t="s">
        <v>343</v>
      </c>
      <c r="Q320">
        <v>2017</v>
      </c>
      <c r="R320" t="s">
        <v>41</v>
      </c>
      <c r="S320" t="s">
        <v>42</v>
      </c>
      <c r="T320" t="s">
        <v>43</v>
      </c>
    </row>
    <row r="321" spans="1:20" x14ac:dyDescent="0.35">
      <c r="A321" t="s">
        <v>542</v>
      </c>
      <c r="B321" t="s">
        <v>596</v>
      </c>
      <c r="C321" t="s">
        <v>597</v>
      </c>
      <c r="D321" t="s">
        <v>264</v>
      </c>
      <c r="E321">
        <v>51.867100000000001</v>
      </c>
      <c r="F321">
        <v>12.648400000000001</v>
      </c>
      <c r="G321" t="s">
        <v>22</v>
      </c>
      <c r="H321" t="s">
        <v>23</v>
      </c>
      <c r="I321" t="s">
        <v>401</v>
      </c>
      <c r="J321" t="s">
        <v>47</v>
      </c>
      <c r="K321">
        <v>5</v>
      </c>
      <c r="L321">
        <v>113</v>
      </c>
      <c r="M321">
        <v>565</v>
      </c>
      <c r="N321">
        <v>565</v>
      </c>
      <c r="O321">
        <v>0</v>
      </c>
      <c r="P321" t="s">
        <v>26</v>
      </c>
      <c r="Q321">
        <v>2017</v>
      </c>
      <c r="R321" t="s">
        <v>76</v>
      </c>
      <c r="S321" t="s">
        <v>42</v>
      </c>
      <c r="T321" t="s">
        <v>43</v>
      </c>
    </row>
    <row r="322" spans="1:20" x14ac:dyDescent="0.35">
      <c r="A322" t="s">
        <v>542</v>
      </c>
      <c r="B322" t="s">
        <v>598</v>
      </c>
      <c r="C322" t="s">
        <v>599</v>
      </c>
      <c r="D322" t="s">
        <v>264</v>
      </c>
      <c r="E322">
        <v>50.654699999999998</v>
      </c>
      <c r="F322">
        <v>12.1997</v>
      </c>
      <c r="G322" t="s">
        <v>22</v>
      </c>
      <c r="H322" t="s">
        <v>79</v>
      </c>
      <c r="I322" t="s">
        <v>125</v>
      </c>
      <c r="J322" t="s">
        <v>35</v>
      </c>
      <c r="K322">
        <v>4</v>
      </c>
      <c r="L322">
        <v>215</v>
      </c>
      <c r="M322">
        <v>860</v>
      </c>
      <c r="N322">
        <v>860</v>
      </c>
      <c r="O322">
        <v>0</v>
      </c>
      <c r="P322" t="s">
        <v>343</v>
      </c>
      <c r="Q322">
        <v>2017</v>
      </c>
      <c r="R322" t="s">
        <v>87</v>
      </c>
      <c r="S322" t="s">
        <v>42</v>
      </c>
      <c r="T322" t="s">
        <v>43</v>
      </c>
    </row>
    <row r="323" spans="1:20" x14ac:dyDescent="0.35">
      <c r="A323" t="s">
        <v>542</v>
      </c>
      <c r="B323" t="s">
        <v>600</v>
      </c>
      <c r="C323" t="s">
        <v>601</v>
      </c>
      <c r="D323" t="s">
        <v>264</v>
      </c>
      <c r="E323">
        <v>51.216700000000003</v>
      </c>
      <c r="F323">
        <v>10.45</v>
      </c>
      <c r="G323" t="s">
        <v>32</v>
      </c>
      <c r="H323" t="s">
        <v>33</v>
      </c>
      <c r="I323" t="s">
        <v>532</v>
      </c>
      <c r="J323" t="s">
        <v>25</v>
      </c>
      <c r="K323">
        <v>3</v>
      </c>
      <c r="L323">
        <v>682</v>
      </c>
      <c r="M323">
        <v>2046</v>
      </c>
      <c r="N323">
        <v>2046</v>
      </c>
      <c r="O323">
        <v>0</v>
      </c>
      <c r="P323" t="s">
        <v>81</v>
      </c>
      <c r="Q323">
        <v>2017</v>
      </c>
      <c r="R323" t="s">
        <v>70</v>
      </c>
      <c r="S323" t="s">
        <v>71</v>
      </c>
      <c r="T323" t="s">
        <v>72</v>
      </c>
    </row>
    <row r="324" spans="1:20" x14ac:dyDescent="0.35">
      <c r="A324" t="s">
        <v>542</v>
      </c>
      <c r="B324" t="s">
        <v>602</v>
      </c>
      <c r="C324" t="s">
        <v>603</v>
      </c>
      <c r="D324" t="s">
        <v>264</v>
      </c>
      <c r="E324">
        <v>51.171399999999998</v>
      </c>
      <c r="F324">
        <v>6.9394</v>
      </c>
      <c r="G324" t="s">
        <v>32</v>
      </c>
      <c r="H324" t="s">
        <v>33</v>
      </c>
      <c r="I324" t="s">
        <v>446</v>
      </c>
      <c r="J324" t="s">
        <v>86</v>
      </c>
      <c r="K324">
        <v>10</v>
      </c>
      <c r="L324">
        <v>785</v>
      </c>
      <c r="M324">
        <v>7850</v>
      </c>
      <c r="N324">
        <v>7850</v>
      </c>
      <c r="O324">
        <v>0</v>
      </c>
      <c r="P324" t="s">
        <v>51</v>
      </c>
      <c r="Q324">
        <v>2017</v>
      </c>
      <c r="R324" t="s">
        <v>76</v>
      </c>
      <c r="S324" t="s">
        <v>42</v>
      </c>
      <c r="T324" t="s">
        <v>43</v>
      </c>
    </row>
    <row r="325" spans="1:20" x14ac:dyDescent="0.35">
      <c r="A325" t="s">
        <v>542</v>
      </c>
      <c r="B325" t="s">
        <v>604</v>
      </c>
      <c r="C325" t="s">
        <v>605</v>
      </c>
      <c r="D325" t="s">
        <v>264</v>
      </c>
      <c r="E325">
        <v>49.989600000000003</v>
      </c>
      <c r="F325">
        <v>8.5661000000000005</v>
      </c>
      <c r="G325" t="s">
        <v>22</v>
      </c>
      <c r="H325" t="s">
        <v>23</v>
      </c>
      <c r="I325" t="s">
        <v>529</v>
      </c>
      <c r="J325" t="s">
        <v>47</v>
      </c>
      <c r="K325">
        <v>40</v>
      </c>
      <c r="L325">
        <v>323</v>
      </c>
      <c r="M325">
        <v>12920</v>
      </c>
      <c r="N325">
        <v>12920</v>
      </c>
      <c r="O325">
        <v>0</v>
      </c>
      <c r="P325" t="s">
        <v>343</v>
      </c>
      <c r="Q325">
        <v>2017</v>
      </c>
      <c r="R325" t="s">
        <v>82</v>
      </c>
      <c r="S325" t="s">
        <v>58</v>
      </c>
      <c r="T325" t="s">
        <v>59</v>
      </c>
    </row>
    <row r="326" spans="1:20" x14ac:dyDescent="0.35">
      <c r="A326" t="s">
        <v>542</v>
      </c>
      <c r="B326" t="s">
        <v>606</v>
      </c>
      <c r="C326" t="s">
        <v>607</v>
      </c>
      <c r="D326" t="s">
        <v>264</v>
      </c>
      <c r="E326">
        <v>50.984999999999999</v>
      </c>
      <c r="F326">
        <v>12.433299999999999</v>
      </c>
      <c r="G326" t="s">
        <v>22</v>
      </c>
      <c r="H326" t="s">
        <v>79</v>
      </c>
      <c r="I326" t="s">
        <v>427</v>
      </c>
      <c r="J326" t="s">
        <v>35</v>
      </c>
      <c r="K326">
        <v>2</v>
      </c>
      <c r="L326">
        <v>664</v>
      </c>
      <c r="M326">
        <v>1328</v>
      </c>
      <c r="N326">
        <v>1328</v>
      </c>
      <c r="O326">
        <v>0</v>
      </c>
      <c r="P326" t="s">
        <v>343</v>
      </c>
      <c r="Q326">
        <v>2017</v>
      </c>
      <c r="R326" t="s">
        <v>63</v>
      </c>
      <c r="S326" t="s">
        <v>28</v>
      </c>
      <c r="T326" t="s">
        <v>29</v>
      </c>
    </row>
    <row r="327" spans="1:20" x14ac:dyDescent="0.35">
      <c r="A327" t="s">
        <v>542</v>
      </c>
      <c r="B327" t="s">
        <v>608</v>
      </c>
      <c r="C327" t="s">
        <v>609</v>
      </c>
      <c r="D327" t="s">
        <v>264</v>
      </c>
      <c r="E327">
        <v>47.561100000000003</v>
      </c>
      <c r="F327">
        <v>7.7916999999999996</v>
      </c>
      <c r="G327" t="s">
        <v>22</v>
      </c>
      <c r="H327" t="s">
        <v>23</v>
      </c>
      <c r="I327" t="s">
        <v>610</v>
      </c>
      <c r="J327" t="s">
        <v>95</v>
      </c>
      <c r="K327">
        <v>5</v>
      </c>
      <c r="L327">
        <v>663</v>
      </c>
      <c r="M327">
        <v>3315</v>
      </c>
      <c r="N327">
        <v>3315</v>
      </c>
      <c r="O327">
        <v>0</v>
      </c>
      <c r="P327" t="s">
        <v>343</v>
      </c>
      <c r="Q327">
        <v>2017</v>
      </c>
      <c r="R327" t="s">
        <v>76</v>
      </c>
      <c r="S327" t="s">
        <v>42</v>
      </c>
      <c r="T327" t="s">
        <v>43</v>
      </c>
    </row>
    <row r="328" spans="1:20" x14ac:dyDescent="0.35">
      <c r="A328" t="s">
        <v>542</v>
      </c>
      <c r="B328" t="s">
        <v>611</v>
      </c>
      <c r="C328" t="s">
        <v>612</v>
      </c>
      <c r="D328" t="s">
        <v>264</v>
      </c>
      <c r="E328">
        <v>48.933300000000003</v>
      </c>
      <c r="F328">
        <v>8.4</v>
      </c>
      <c r="G328" t="s">
        <v>22</v>
      </c>
      <c r="H328" t="s">
        <v>79</v>
      </c>
      <c r="I328" t="s">
        <v>613</v>
      </c>
      <c r="J328" t="s">
        <v>25</v>
      </c>
      <c r="K328">
        <v>5</v>
      </c>
      <c r="L328">
        <v>678</v>
      </c>
      <c r="M328">
        <v>3390</v>
      </c>
      <c r="N328">
        <v>3390</v>
      </c>
      <c r="O328">
        <v>0</v>
      </c>
      <c r="P328" t="s">
        <v>185</v>
      </c>
      <c r="Q328">
        <v>2017</v>
      </c>
      <c r="R328" t="s">
        <v>52</v>
      </c>
      <c r="S328" t="s">
        <v>28</v>
      </c>
      <c r="T328" t="s">
        <v>29</v>
      </c>
    </row>
    <row r="329" spans="1:20" x14ac:dyDescent="0.35">
      <c r="A329" t="s">
        <v>542</v>
      </c>
      <c r="B329" t="s">
        <v>614</v>
      </c>
      <c r="C329" t="s">
        <v>615</v>
      </c>
      <c r="D329" t="s">
        <v>264</v>
      </c>
      <c r="E329">
        <v>51.219799999999999</v>
      </c>
      <c r="F329">
        <v>7.6273</v>
      </c>
      <c r="G329" t="s">
        <v>22</v>
      </c>
      <c r="H329" t="s">
        <v>23</v>
      </c>
      <c r="I329" t="s">
        <v>616</v>
      </c>
      <c r="J329" t="s">
        <v>134</v>
      </c>
      <c r="K329">
        <v>10</v>
      </c>
      <c r="L329">
        <v>459</v>
      </c>
      <c r="M329">
        <v>4590</v>
      </c>
      <c r="N329">
        <v>4590</v>
      </c>
      <c r="O329">
        <v>0</v>
      </c>
      <c r="P329" t="s">
        <v>343</v>
      </c>
      <c r="Q329">
        <v>2017</v>
      </c>
      <c r="R329" t="s">
        <v>52</v>
      </c>
      <c r="S329" t="s">
        <v>28</v>
      </c>
      <c r="T329" t="s">
        <v>29</v>
      </c>
    </row>
    <row r="330" spans="1:20" x14ac:dyDescent="0.35">
      <c r="A330" t="s">
        <v>542</v>
      </c>
      <c r="B330" t="s">
        <v>617</v>
      </c>
      <c r="C330" t="s">
        <v>618</v>
      </c>
      <c r="D330" t="s">
        <v>264</v>
      </c>
      <c r="E330">
        <v>50.383299999999998</v>
      </c>
      <c r="F330">
        <v>8.0667000000000009</v>
      </c>
      <c r="G330" t="s">
        <v>32</v>
      </c>
      <c r="H330" t="s">
        <v>33</v>
      </c>
      <c r="I330" t="s">
        <v>515</v>
      </c>
      <c r="J330" t="s">
        <v>134</v>
      </c>
      <c r="K330">
        <v>3</v>
      </c>
      <c r="L330">
        <v>705</v>
      </c>
      <c r="M330">
        <v>2115</v>
      </c>
      <c r="N330">
        <v>2115</v>
      </c>
      <c r="O330">
        <v>0</v>
      </c>
      <c r="P330" t="s">
        <v>343</v>
      </c>
      <c r="Q330">
        <v>2017</v>
      </c>
      <c r="R330" t="s">
        <v>115</v>
      </c>
      <c r="S330" t="s">
        <v>58</v>
      </c>
      <c r="T330" t="s">
        <v>59</v>
      </c>
    </row>
    <row r="331" spans="1:20" x14ac:dyDescent="0.35">
      <c r="A331" t="s">
        <v>542</v>
      </c>
      <c r="B331" t="s">
        <v>619</v>
      </c>
      <c r="C331" t="s">
        <v>620</v>
      </c>
      <c r="D331" t="s">
        <v>264</v>
      </c>
      <c r="E331">
        <v>51.526400000000002</v>
      </c>
      <c r="F331">
        <v>12.342499999999999</v>
      </c>
      <c r="G331" t="s">
        <v>32</v>
      </c>
      <c r="H331" t="s">
        <v>33</v>
      </c>
      <c r="I331" t="s">
        <v>381</v>
      </c>
      <c r="J331" t="s">
        <v>25</v>
      </c>
      <c r="K331">
        <v>20</v>
      </c>
      <c r="L331">
        <v>361</v>
      </c>
      <c r="M331">
        <v>7220</v>
      </c>
      <c r="N331">
        <v>7220</v>
      </c>
      <c r="O331">
        <v>0</v>
      </c>
      <c r="P331" t="s">
        <v>144</v>
      </c>
      <c r="Q331">
        <v>2017</v>
      </c>
      <c r="R331" t="s">
        <v>63</v>
      </c>
      <c r="S331" t="s">
        <v>28</v>
      </c>
      <c r="T331" t="s">
        <v>29</v>
      </c>
    </row>
    <row r="332" spans="1:20" x14ac:dyDescent="0.35">
      <c r="A332" t="s">
        <v>542</v>
      </c>
      <c r="B332" t="s">
        <v>621</v>
      </c>
      <c r="C332" t="s">
        <v>622</v>
      </c>
      <c r="D332" t="s">
        <v>264</v>
      </c>
      <c r="E332">
        <v>53.25</v>
      </c>
      <c r="F332">
        <v>7.9166999999999996</v>
      </c>
      <c r="G332" t="s">
        <v>22</v>
      </c>
      <c r="H332" t="s">
        <v>79</v>
      </c>
      <c r="I332" t="s">
        <v>623</v>
      </c>
      <c r="J332" t="s">
        <v>35</v>
      </c>
      <c r="K332">
        <v>7</v>
      </c>
      <c r="L332">
        <v>549</v>
      </c>
      <c r="M332">
        <v>3843</v>
      </c>
      <c r="N332">
        <v>3843</v>
      </c>
      <c r="O332">
        <v>0</v>
      </c>
      <c r="P332" t="s">
        <v>343</v>
      </c>
      <c r="Q332">
        <v>2017</v>
      </c>
      <c r="R332" t="s">
        <v>87</v>
      </c>
      <c r="S332" t="s">
        <v>42</v>
      </c>
      <c r="T332" t="s">
        <v>43</v>
      </c>
    </row>
    <row r="333" spans="1:20" x14ac:dyDescent="0.35">
      <c r="A333" t="s">
        <v>542</v>
      </c>
      <c r="B333" t="s">
        <v>624</v>
      </c>
      <c r="C333" t="s">
        <v>625</v>
      </c>
      <c r="D333" t="s">
        <v>264</v>
      </c>
      <c r="E333">
        <v>49.921399999999998</v>
      </c>
      <c r="F333">
        <v>8.4817999999999998</v>
      </c>
      <c r="G333" t="s">
        <v>22</v>
      </c>
      <c r="H333" t="s">
        <v>79</v>
      </c>
      <c r="I333" t="s">
        <v>227</v>
      </c>
      <c r="J333" t="s">
        <v>86</v>
      </c>
      <c r="K333">
        <v>2</v>
      </c>
      <c r="L333">
        <v>373</v>
      </c>
      <c r="M333">
        <v>746</v>
      </c>
      <c r="N333">
        <v>746</v>
      </c>
      <c r="O333">
        <v>0</v>
      </c>
      <c r="P333" t="s">
        <v>343</v>
      </c>
      <c r="Q333">
        <v>2017</v>
      </c>
      <c r="R333" t="s">
        <v>119</v>
      </c>
      <c r="S333" t="s">
        <v>71</v>
      </c>
      <c r="T333" t="s">
        <v>72</v>
      </c>
    </row>
    <row r="334" spans="1:20" x14ac:dyDescent="0.35">
      <c r="A334" t="s">
        <v>542</v>
      </c>
      <c r="B334" t="s">
        <v>626</v>
      </c>
      <c r="C334" t="s">
        <v>627</v>
      </c>
      <c r="D334" t="s">
        <v>264</v>
      </c>
      <c r="E334">
        <v>49.323599999999999</v>
      </c>
      <c r="F334">
        <v>12.099299999999999</v>
      </c>
      <c r="G334" t="s">
        <v>32</v>
      </c>
      <c r="H334" t="s">
        <v>33</v>
      </c>
      <c r="I334" t="s">
        <v>628</v>
      </c>
      <c r="J334" t="s">
        <v>95</v>
      </c>
      <c r="K334">
        <v>-45</v>
      </c>
      <c r="L334">
        <v>303</v>
      </c>
      <c r="M334">
        <v>-13635</v>
      </c>
      <c r="N334">
        <v>0</v>
      </c>
      <c r="O334">
        <v>-13635</v>
      </c>
      <c r="P334" t="s">
        <v>343</v>
      </c>
      <c r="Q334">
        <v>2017</v>
      </c>
      <c r="R334" t="s">
        <v>57</v>
      </c>
      <c r="S334" t="s">
        <v>58</v>
      </c>
      <c r="T334" t="s">
        <v>59</v>
      </c>
    </row>
    <row r="335" spans="1:20" x14ac:dyDescent="0.35">
      <c r="A335" t="s">
        <v>542</v>
      </c>
      <c r="B335" t="s">
        <v>629</v>
      </c>
      <c r="C335" t="s">
        <v>630</v>
      </c>
      <c r="D335" t="s">
        <v>264</v>
      </c>
      <c r="E335">
        <v>50.833300000000001</v>
      </c>
      <c r="F335">
        <v>12.916700000000001</v>
      </c>
      <c r="G335" t="s">
        <v>22</v>
      </c>
      <c r="H335" t="s">
        <v>79</v>
      </c>
      <c r="I335" t="s">
        <v>628</v>
      </c>
      <c r="J335" t="s">
        <v>95</v>
      </c>
      <c r="K335">
        <v>-72</v>
      </c>
      <c r="L335">
        <v>303</v>
      </c>
      <c r="M335">
        <v>-21816</v>
      </c>
      <c r="N335">
        <v>0</v>
      </c>
      <c r="O335">
        <v>-21816</v>
      </c>
      <c r="P335" t="s">
        <v>343</v>
      </c>
      <c r="Q335">
        <v>2017</v>
      </c>
      <c r="R335" t="s">
        <v>70</v>
      </c>
      <c r="S335" t="s">
        <v>71</v>
      </c>
      <c r="T335" t="s">
        <v>72</v>
      </c>
    </row>
    <row r="336" spans="1:20" x14ac:dyDescent="0.35">
      <c r="A336" t="s">
        <v>542</v>
      </c>
      <c r="B336" t="s">
        <v>631</v>
      </c>
      <c r="C336" t="s">
        <v>632</v>
      </c>
      <c r="D336" t="s">
        <v>264</v>
      </c>
      <c r="E336">
        <v>51.238599999999998</v>
      </c>
      <c r="F336">
        <v>12.725300000000001</v>
      </c>
      <c r="G336" t="s">
        <v>22</v>
      </c>
      <c r="H336" t="s">
        <v>23</v>
      </c>
      <c r="I336" t="s">
        <v>140</v>
      </c>
      <c r="J336" t="s">
        <v>134</v>
      </c>
      <c r="K336">
        <v>117</v>
      </c>
      <c r="L336">
        <v>511</v>
      </c>
      <c r="M336">
        <v>59787</v>
      </c>
      <c r="N336">
        <v>59787</v>
      </c>
      <c r="O336">
        <v>0</v>
      </c>
      <c r="P336" t="s">
        <v>56</v>
      </c>
      <c r="Q336">
        <v>2017</v>
      </c>
      <c r="R336" t="s">
        <v>70</v>
      </c>
      <c r="S336" t="s">
        <v>71</v>
      </c>
      <c r="T336" t="s">
        <v>72</v>
      </c>
    </row>
    <row r="337" spans="1:20" x14ac:dyDescent="0.35">
      <c r="A337" t="s">
        <v>542</v>
      </c>
      <c r="B337" t="s">
        <v>633</v>
      </c>
      <c r="C337" t="s">
        <v>634</v>
      </c>
      <c r="D337" t="s">
        <v>264</v>
      </c>
      <c r="E337">
        <v>48.8</v>
      </c>
      <c r="F337">
        <v>9.5333000000000006</v>
      </c>
      <c r="G337" t="s">
        <v>32</v>
      </c>
      <c r="H337" t="s">
        <v>39</v>
      </c>
      <c r="I337" t="s">
        <v>236</v>
      </c>
      <c r="J337" t="s">
        <v>86</v>
      </c>
      <c r="K337">
        <v>3</v>
      </c>
      <c r="L337">
        <v>26</v>
      </c>
      <c r="M337">
        <v>78</v>
      </c>
      <c r="N337">
        <v>78</v>
      </c>
      <c r="O337">
        <v>0</v>
      </c>
      <c r="P337" t="s">
        <v>343</v>
      </c>
      <c r="Q337">
        <v>2017</v>
      </c>
      <c r="R337" t="s">
        <v>63</v>
      </c>
      <c r="S337" t="s">
        <v>28</v>
      </c>
      <c r="T337" t="s">
        <v>29</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8187-04ED-471D-8AA1-D12C129A8241}">
  <dimension ref="B2:AF31"/>
  <sheetViews>
    <sheetView showGridLines="0" tabSelected="1" topLeftCell="T1" zoomScaleNormal="100" workbookViewId="0">
      <selection activeCell="AE15" sqref="AE15"/>
    </sheetView>
  </sheetViews>
  <sheetFormatPr defaultRowHeight="14.5" x14ac:dyDescent="0.35"/>
  <cols>
    <col min="2" max="2" width="19.81640625" bestFit="1" customWidth="1"/>
    <col min="3" max="3" width="16.54296875" bestFit="1" customWidth="1"/>
    <col min="4" max="4" width="8.81640625" customWidth="1"/>
    <col min="5" max="5" width="6.54296875" style="23" customWidth="1"/>
    <col min="6" max="6" width="6.26953125" style="30" customWidth="1"/>
    <col min="7" max="7" width="22.7265625" bestFit="1" customWidth="1"/>
    <col min="8" max="8" width="16.54296875" bestFit="1" customWidth="1"/>
    <col min="9" max="9" width="8.7265625" style="23"/>
    <col min="10" max="10" width="7.26953125" customWidth="1"/>
    <col min="11" max="11" width="14.6328125" bestFit="1" customWidth="1"/>
    <col min="12" max="12" width="16.54296875" bestFit="1" customWidth="1"/>
    <col min="13" max="13" width="8.7265625" style="23"/>
    <col min="15" max="15" width="14.6328125" bestFit="1" customWidth="1"/>
    <col min="16" max="16" width="16.54296875" bestFit="1" customWidth="1"/>
    <col min="17" max="17" width="7.81640625" style="23" bestFit="1" customWidth="1"/>
    <col min="18" max="18" width="10.7265625" bestFit="1" customWidth="1"/>
    <col min="19" max="19" width="18.7265625" bestFit="1" customWidth="1"/>
    <col min="20" max="20" width="27.6328125" bestFit="1" customWidth="1"/>
    <col min="21" max="21" width="8.7265625" style="23"/>
    <col min="22" max="22" width="9.54296875" customWidth="1"/>
    <col min="23" max="23" width="14.7265625" bestFit="1" customWidth="1"/>
    <col min="24" max="24" width="16.54296875" bestFit="1" customWidth="1"/>
    <col min="25" max="25" width="8.7265625" style="23"/>
    <col min="27" max="27" width="11.453125" bestFit="1" customWidth="1"/>
    <col min="28" max="28" width="9.26953125" style="23" customWidth="1"/>
    <col min="29" max="29" width="4.36328125" customWidth="1"/>
    <col min="30" max="30" width="14.6328125" bestFit="1" customWidth="1"/>
    <col min="31" max="31" width="12.7265625" bestFit="1" customWidth="1"/>
    <col min="32" max="32" width="4" style="23" customWidth="1"/>
  </cols>
  <sheetData>
    <row r="2" spans="2:31" x14ac:dyDescent="0.35">
      <c r="B2" s="28" t="s">
        <v>715</v>
      </c>
      <c r="C2" s="28"/>
      <c r="G2" s="28" t="s">
        <v>716</v>
      </c>
      <c r="H2" s="28"/>
      <c r="K2" s="28" t="s">
        <v>701</v>
      </c>
      <c r="L2" s="28"/>
      <c r="O2" s="28" t="s">
        <v>709</v>
      </c>
      <c r="P2" s="29"/>
      <c r="S2" s="28" t="s">
        <v>708</v>
      </c>
      <c r="T2" s="29"/>
      <c r="W2" s="28" t="s">
        <v>710</v>
      </c>
      <c r="X2" s="29"/>
      <c r="AA2" s="19" t="s">
        <v>707</v>
      </c>
      <c r="AD2" s="28" t="s">
        <v>717</v>
      </c>
      <c r="AE2" s="28"/>
    </row>
    <row r="4" spans="2:31" x14ac:dyDescent="0.35">
      <c r="B4" s="26" t="s">
        <v>696</v>
      </c>
      <c r="C4" s="9" t="s">
        <v>699</v>
      </c>
      <c r="D4" s="9"/>
      <c r="G4" s="26" t="s">
        <v>696</v>
      </c>
      <c r="H4" s="9" t="s">
        <v>699</v>
      </c>
      <c r="K4" s="26" t="s">
        <v>696</v>
      </c>
      <c r="L4" s="9" t="s">
        <v>699</v>
      </c>
      <c r="O4" s="26" t="s">
        <v>696</v>
      </c>
      <c r="P4" s="9" t="s">
        <v>699</v>
      </c>
      <c r="S4" s="26" t="s">
        <v>696</v>
      </c>
      <c r="T4" s="9" t="s">
        <v>702</v>
      </c>
      <c r="W4" s="26" t="s">
        <v>696</v>
      </c>
      <c r="X4" s="9" t="s">
        <v>699</v>
      </c>
      <c r="AA4" s="9" t="s">
        <v>703</v>
      </c>
      <c r="AD4" s="26" t="s">
        <v>696</v>
      </c>
      <c r="AE4" s="9" t="s">
        <v>703</v>
      </c>
    </row>
    <row r="5" spans="2:31" x14ac:dyDescent="0.35">
      <c r="B5" s="9" t="s">
        <v>574</v>
      </c>
      <c r="C5" s="22">
        <v>0</v>
      </c>
      <c r="D5" s="9"/>
      <c r="G5" s="9" t="s">
        <v>66</v>
      </c>
      <c r="H5" s="22">
        <v>56392</v>
      </c>
      <c r="K5" s="9" t="s">
        <v>264</v>
      </c>
      <c r="L5" s="22">
        <v>608346</v>
      </c>
      <c r="O5" s="9">
        <v>2017</v>
      </c>
      <c r="P5" s="22">
        <v>539725</v>
      </c>
      <c r="S5" s="9" t="s">
        <v>628</v>
      </c>
      <c r="T5" s="22">
        <v>-35451</v>
      </c>
      <c r="W5" s="9" t="s">
        <v>86</v>
      </c>
      <c r="X5" s="22">
        <v>521390</v>
      </c>
      <c r="AA5" s="9">
        <v>1748904</v>
      </c>
      <c r="AD5" s="9" t="s">
        <v>494</v>
      </c>
      <c r="AE5" s="31">
        <v>240597</v>
      </c>
    </row>
    <row r="6" spans="2:31" x14ac:dyDescent="0.35">
      <c r="B6" s="9" t="s">
        <v>628</v>
      </c>
      <c r="C6" s="22">
        <v>0</v>
      </c>
      <c r="D6" s="9"/>
      <c r="G6" s="9" t="s">
        <v>140</v>
      </c>
      <c r="H6" s="22">
        <v>64386</v>
      </c>
      <c r="K6" s="9" t="s">
        <v>21</v>
      </c>
      <c r="L6" s="22">
        <v>1140558</v>
      </c>
      <c r="O6" s="9">
        <v>2018</v>
      </c>
      <c r="P6" s="22">
        <v>1209179</v>
      </c>
      <c r="S6" s="9" t="s">
        <v>574</v>
      </c>
      <c r="T6" s="22">
        <v>-1870</v>
      </c>
      <c r="W6" s="9" t="s">
        <v>25</v>
      </c>
      <c r="X6" s="22">
        <v>423987</v>
      </c>
      <c r="AD6" s="9" t="s">
        <v>697</v>
      </c>
      <c r="AE6" s="31">
        <v>240597</v>
      </c>
    </row>
    <row r="7" spans="2:31" x14ac:dyDescent="0.35">
      <c r="B7" s="9" t="s">
        <v>593</v>
      </c>
      <c r="C7" s="22">
        <v>44</v>
      </c>
      <c r="D7" s="9"/>
      <c r="G7" s="9" t="s">
        <v>577</v>
      </c>
      <c r="H7" s="22">
        <v>93600</v>
      </c>
      <c r="K7" s="9" t="s">
        <v>697</v>
      </c>
      <c r="L7" s="22">
        <v>1748904</v>
      </c>
      <c r="O7" s="9" t="s">
        <v>697</v>
      </c>
      <c r="P7" s="9">
        <v>1748904</v>
      </c>
      <c r="S7" s="9" t="s">
        <v>697</v>
      </c>
      <c r="T7" s="9">
        <v>-37321</v>
      </c>
      <c r="W7" s="9" t="s">
        <v>35</v>
      </c>
      <c r="X7" s="22">
        <v>250663</v>
      </c>
      <c r="AA7" s="21">
        <f>GETPIVOTDATA("[Measures].[Sum of Gross Sales]",$AA$4)</f>
        <v>1748904</v>
      </c>
    </row>
    <row r="8" spans="2:31" x14ac:dyDescent="0.35">
      <c r="B8" s="9" t="s">
        <v>523</v>
      </c>
      <c r="C8" s="22">
        <v>94</v>
      </c>
      <c r="D8" s="9"/>
      <c r="G8" s="9" t="s">
        <v>217</v>
      </c>
      <c r="H8" s="22">
        <v>107272</v>
      </c>
      <c r="W8" s="9" t="s">
        <v>134</v>
      </c>
      <c r="X8" s="22">
        <v>205312</v>
      </c>
    </row>
    <row r="9" spans="2:31" x14ac:dyDescent="0.35">
      <c r="B9" s="9" t="s">
        <v>524</v>
      </c>
      <c r="C9" s="22">
        <v>104</v>
      </c>
      <c r="D9" s="9"/>
      <c r="G9" s="9" t="s">
        <v>494</v>
      </c>
      <c r="H9" s="22">
        <v>240597</v>
      </c>
      <c r="W9" s="9" t="s">
        <v>47</v>
      </c>
      <c r="X9" s="22">
        <v>184751</v>
      </c>
      <c r="AA9" s="9" t="s">
        <v>704</v>
      </c>
    </row>
    <row r="10" spans="2:31" x14ac:dyDescent="0.35">
      <c r="B10" s="9" t="s">
        <v>697</v>
      </c>
      <c r="C10" s="9">
        <v>242</v>
      </c>
      <c r="D10" s="9"/>
      <c r="G10" s="9" t="s">
        <v>697</v>
      </c>
      <c r="H10" s="9">
        <v>562247</v>
      </c>
      <c r="W10" s="9" t="s">
        <v>95</v>
      </c>
      <c r="X10" s="22">
        <v>162801</v>
      </c>
      <c r="AA10" s="9">
        <v>1711583</v>
      </c>
    </row>
    <row r="11" spans="2:31" x14ac:dyDescent="0.35">
      <c r="P11" s="22"/>
      <c r="W11" s="9" t="s">
        <v>697</v>
      </c>
      <c r="X11" s="9">
        <v>1748904</v>
      </c>
    </row>
    <row r="12" spans="2:31" x14ac:dyDescent="0.35">
      <c r="AA12" s="21">
        <f>GETPIVOTDATA("[Measures].[Sum of Sales]",$AA$9)</f>
        <v>1711583</v>
      </c>
    </row>
    <row r="13" spans="2:31" x14ac:dyDescent="0.35">
      <c r="AA13" s="9" t="s">
        <v>711</v>
      </c>
    </row>
    <row r="14" spans="2:31" x14ac:dyDescent="0.35">
      <c r="B14" s="19" t="s">
        <v>714</v>
      </c>
      <c r="G14" s="19" t="s">
        <v>713</v>
      </c>
      <c r="K14" s="1" t="s">
        <v>701</v>
      </c>
      <c r="O14" s="1" t="s">
        <v>709</v>
      </c>
      <c r="Q14" s="25"/>
      <c r="R14" s="1"/>
      <c r="S14" s="1" t="s">
        <v>718</v>
      </c>
      <c r="V14" s="1"/>
      <c r="W14" s="19" t="s">
        <v>710</v>
      </c>
      <c r="AA14" s="9">
        <v>183</v>
      </c>
    </row>
    <row r="15" spans="2:31" x14ac:dyDescent="0.35">
      <c r="Q15" s="24"/>
      <c r="R15" s="18"/>
      <c r="V15" s="21"/>
    </row>
    <row r="16" spans="2:31" x14ac:dyDescent="0.35">
      <c r="Q16" s="24"/>
      <c r="R16" s="18"/>
      <c r="V16" s="21"/>
      <c r="AA16">
        <f>GETPIVOTDATA("[Measures].[Distinct Count of Product Name]",$AA$13)</f>
        <v>183</v>
      </c>
    </row>
    <row r="17" spans="9:27" x14ac:dyDescent="0.35">
      <c r="I17" s="24"/>
    </row>
    <row r="18" spans="9:27" x14ac:dyDescent="0.35">
      <c r="I18" s="24"/>
      <c r="AA18" s="9" t="s">
        <v>712</v>
      </c>
    </row>
    <row r="19" spans="9:27" x14ac:dyDescent="0.35">
      <c r="AA19" s="9">
        <v>-37321</v>
      </c>
    </row>
    <row r="21" spans="9:27" x14ac:dyDescent="0.35">
      <c r="O21" s="21"/>
      <c r="AA21" s="21">
        <f>GETPIVOTDATA("[Measures].[Sum of Returns (Negative Sales)]",$AA$18)</f>
        <v>-37321</v>
      </c>
    </row>
    <row r="22" spans="9:27" x14ac:dyDescent="0.35">
      <c r="O22" s="21"/>
    </row>
    <row r="23" spans="9:27" x14ac:dyDescent="0.35">
      <c r="AA23" s="9" t="s">
        <v>706</v>
      </c>
    </row>
    <row r="24" spans="9:27" x14ac:dyDescent="0.35">
      <c r="AA24" s="9">
        <v>4491</v>
      </c>
    </row>
    <row r="26" spans="9:27" x14ac:dyDescent="0.35">
      <c r="AA26" s="27">
        <f>GETPIVOTDATA("[Measures].[Sum of Quantity]",$AA$23)</f>
        <v>4491</v>
      </c>
    </row>
    <row r="28" spans="9:27" x14ac:dyDescent="0.35">
      <c r="AA28" s="9" t="s">
        <v>705</v>
      </c>
    </row>
    <row r="29" spans="9:27" x14ac:dyDescent="0.35">
      <c r="AA29" s="9">
        <v>425.22023809523807</v>
      </c>
    </row>
    <row r="31" spans="9:27" x14ac:dyDescent="0.35">
      <c r="AA31" s="21">
        <f>GETPIVOTDATA("[Measures].[Average of Price]",$AA$28)</f>
        <v>425.22023809523807</v>
      </c>
    </row>
  </sheetData>
  <mergeCells count="7">
    <mergeCell ref="B2:C2"/>
    <mergeCell ref="AD2:AE2"/>
    <mergeCell ref="S2:T2"/>
    <mergeCell ref="G2:H2"/>
    <mergeCell ref="K2:L2"/>
    <mergeCell ref="O2:P2"/>
    <mergeCell ref="W2:X2"/>
  </mergeCells>
  <pageMargins left="0.7" right="0.7" top="0.75" bottom="0.75" header="0.3" footer="0.3"/>
  <pageSetup paperSize="9" orientation="portrait" r:id="rId14"/>
  <drawing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9CE71-4265-4E81-807D-7E18C6A0ABB0}">
  <dimension ref="A1"/>
  <sheetViews>
    <sheetView showGridLines="0" showRowColHeaders="0" topLeftCell="A7" zoomScale="98" zoomScaleNormal="98" workbookViewId="0">
      <selection activeCell="R14" sqref="R14"/>
    </sheetView>
  </sheetViews>
  <sheetFormatPr defaultRowHeight="14.5" x14ac:dyDescent="0.35"/>
  <cols>
    <col min="1" max="16384" width="8.7265625" style="20"/>
  </cols>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D5DAC6F5-65B7-4878-B914-0F0947B5CA7D}">
  <ds:schemaRefs/>
</ds:datastoreItem>
</file>

<file path=customXml/itemProps2.xml><?xml version="1.0" encoding="utf-8"?>
<ds:datastoreItem xmlns:ds="http://schemas.openxmlformats.org/officeDocument/2006/customXml" ds:itemID="{D98AE9DC-7BD2-4041-9978-88B46175DC4C}">
  <ds:schemaRefs/>
</ds:datastoreItem>
</file>

<file path=customXml/itemProps3.xml><?xml version="1.0" encoding="utf-8"?>
<ds:datastoreItem xmlns:ds="http://schemas.openxmlformats.org/officeDocument/2006/customXml" ds:itemID="{4BDE7BF5-89D8-4066-8C4C-3AF126297FEF}">
  <ds:schemaRefs/>
</ds:datastoreItem>
</file>

<file path=customXml/itemProps4.xml><?xml version="1.0" encoding="utf-8"?>
<ds:datastoreItem xmlns:ds="http://schemas.openxmlformats.org/officeDocument/2006/customXml" ds:itemID="{58F6CC20-6842-4588-90BA-904447D369AE}">
  <ds:schemaRefs/>
</ds:datastoreItem>
</file>

<file path=customXml/itemProps5.xml><?xml version="1.0" encoding="utf-8"?>
<ds:datastoreItem xmlns:ds="http://schemas.openxmlformats.org/officeDocument/2006/customXml" ds:itemID="{58732EC7-7A67-4710-9B3D-D5B964476FE9}">
  <ds:schemaRefs>
    <ds:schemaRef ds:uri="http://schemas.microsoft.com/DataMashup"/>
  </ds:schemaRefs>
</ds:datastoreItem>
</file>

<file path=customXml/itemProps6.xml><?xml version="1.0" encoding="utf-8"?>
<ds:datastoreItem xmlns:ds="http://schemas.openxmlformats.org/officeDocument/2006/customXml" ds:itemID="{5A7DE319-E3B6-41D1-84DB-87A3CB8D79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Unclean or Raw Data</vt:lpstr>
      <vt:lpstr>Cleaned_Brain_Pharmacy</vt:lpstr>
      <vt:lpstr>Pivot Table and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Fredrick Disi</dc:creator>
  <cp:lastModifiedBy>Fredrick Disi</cp:lastModifiedBy>
  <cp:lastPrinted>2026-03-07T18:53:13Z</cp:lastPrinted>
  <dcterms:created xsi:type="dcterms:W3CDTF">2026-03-04T15:51:41Z</dcterms:created>
  <dcterms:modified xsi:type="dcterms:W3CDTF">2026-04-08T23:31:18Z</dcterms:modified>
</cp:coreProperties>
</file>